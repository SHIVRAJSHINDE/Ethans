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2.Data Management Data Cleaning\"/>
    </mc:Choice>
  </mc:AlternateContent>
  <bookViews>
    <workbookView xWindow="0" yWindow="0" windowWidth="23040" windowHeight="9072" activeTab="1"/>
  </bookViews>
  <sheets>
    <sheet name="Conditional Formatting" sheetId="18" r:id="rId1"/>
    <sheet name="Conditional Formatting(Formula)" sheetId="19" r:id="rId2"/>
  </sheets>
  <definedNames>
    <definedName name="_xlnm._FilterDatabase" localSheetId="1" hidden="1">'Conditional Formatting(Formula)'!$A$36:$J$46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9" i="19" l="1"/>
  <c r="L68" i="19"/>
  <c r="L67" i="19"/>
  <c r="L83" i="19"/>
  <c r="L92" i="19"/>
  <c r="L91" i="19"/>
  <c r="L90" i="19"/>
  <c r="L89" i="19"/>
  <c r="L88" i="19"/>
  <c r="L87" i="19"/>
  <c r="L86" i="19"/>
  <c r="L85" i="19"/>
  <c r="L84" i="19"/>
  <c r="K92" i="19"/>
  <c r="J92" i="19"/>
  <c r="K91" i="19"/>
  <c r="J91" i="19"/>
  <c r="K90" i="19"/>
  <c r="J90" i="19"/>
  <c r="K89" i="19"/>
  <c r="J89" i="19"/>
  <c r="K88" i="19"/>
  <c r="J88" i="19"/>
  <c r="K87" i="19"/>
  <c r="J87" i="19"/>
  <c r="K86" i="19"/>
  <c r="J86" i="19"/>
  <c r="K85" i="19"/>
  <c r="J85" i="19"/>
  <c r="K84" i="19"/>
  <c r="J84" i="19"/>
  <c r="K83" i="19"/>
  <c r="J83" i="19"/>
  <c r="J37" i="19"/>
  <c r="J46" i="19"/>
  <c r="J45" i="19"/>
  <c r="J44" i="19"/>
  <c r="J43" i="19"/>
  <c r="J42" i="19"/>
  <c r="J41" i="19"/>
  <c r="J40" i="19"/>
  <c r="J39" i="19"/>
  <c r="J38" i="19"/>
  <c r="P85" i="19" l="1"/>
  <c r="G22" i="18" l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</calcChain>
</file>

<file path=xl/sharedStrings.xml><?xml version="1.0" encoding="utf-8"?>
<sst xmlns="http://schemas.openxmlformats.org/spreadsheetml/2006/main" count="400" uniqueCount="111">
  <si>
    <t>age</t>
  </si>
  <si>
    <t>First Name</t>
  </si>
  <si>
    <t>Last Name</t>
  </si>
  <si>
    <t>Age</t>
  </si>
  <si>
    <t>Amit</t>
  </si>
  <si>
    <t>Sharma</t>
  </si>
  <si>
    <t>Priya</t>
  </si>
  <si>
    <t>Nair</t>
  </si>
  <si>
    <t>Rahul</t>
  </si>
  <si>
    <t>Verma</t>
  </si>
  <si>
    <t>Sneha</t>
  </si>
  <si>
    <t>Patil</t>
  </si>
  <si>
    <t>Elena</t>
  </si>
  <si>
    <t>Rossi</t>
  </si>
  <si>
    <t>James</t>
  </si>
  <si>
    <t>Wilson</t>
  </si>
  <si>
    <t>Sarah</t>
  </si>
  <si>
    <t>Chen</t>
  </si>
  <si>
    <t>Omar</t>
  </si>
  <si>
    <t>Khan</t>
  </si>
  <si>
    <t>Yuki</t>
  </si>
  <si>
    <t>Tanaka</t>
  </si>
  <si>
    <t>Category</t>
  </si>
  <si>
    <t>Sub-Category</t>
  </si>
  <si>
    <t>Salary</t>
  </si>
  <si>
    <t>Stock Level</t>
  </si>
  <si>
    <t>Furniture</t>
  </si>
  <si>
    <t>Office Chairs</t>
  </si>
  <si>
    <t>Home Appliances</t>
  </si>
  <si>
    <t>Kitchen</t>
  </si>
  <si>
    <t>Tables</t>
  </si>
  <si>
    <t>Laundry</t>
  </si>
  <si>
    <t>Climate Control</t>
  </si>
  <si>
    <t>Storage</t>
  </si>
  <si>
    <t>Arjun</t>
  </si>
  <si>
    <t>Gupta</t>
  </si>
  <si>
    <t>Mei</t>
  </si>
  <si>
    <t>Ling</t>
  </si>
  <si>
    <t>PATIL</t>
  </si>
  <si>
    <t>aroda</t>
  </si>
  <si>
    <t>prakash</t>
  </si>
  <si>
    <t>Numbers</t>
  </si>
  <si>
    <t>DATE</t>
  </si>
  <si>
    <t>Noah</t>
  </si>
  <si>
    <t>Hold</t>
  </si>
  <si>
    <t>Pending</t>
  </si>
  <si>
    <t>Cancelled</t>
  </si>
  <si>
    <t>Confirmed</t>
  </si>
  <si>
    <t>Status</t>
  </si>
  <si>
    <t>ID</t>
  </si>
  <si>
    <t>Name</t>
  </si>
  <si>
    <t>Department</t>
  </si>
  <si>
    <t>City</t>
  </si>
  <si>
    <t>Join Date</t>
  </si>
  <si>
    <t>John</t>
  </si>
  <si>
    <t>Sales</t>
  </si>
  <si>
    <t>New York</t>
  </si>
  <si>
    <t>Alice</t>
  </si>
  <si>
    <t>HR</t>
  </si>
  <si>
    <t>Chicago</t>
  </si>
  <si>
    <t>Bob</t>
  </si>
  <si>
    <t>IT</t>
  </si>
  <si>
    <t>Dallas</t>
  </si>
  <si>
    <t>Emma</t>
  </si>
  <si>
    <t>Finance</t>
  </si>
  <si>
    <t>Boston</t>
  </si>
  <si>
    <t>Liam</t>
  </si>
  <si>
    <t>Miami</t>
  </si>
  <si>
    <t>Ava</t>
  </si>
  <si>
    <t>Denver</t>
  </si>
  <si>
    <t>Sophia</t>
  </si>
  <si>
    <t>Austin</t>
  </si>
  <si>
    <t>Mason</t>
  </si>
  <si>
    <t>Mia</t>
  </si>
  <si>
    <t>Between</t>
  </si>
  <si>
    <t>Range</t>
  </si>
  <si>
    <t>between</t>
  </si>
  <si>
    <t>not between</t>
  </si>
  <si>
    <t>equal to</t>
  </si>
  <si>
    <t>not equal to</t>
  </si>
  <si>
    <t>greater than</t>
  </si>
  <si>
    <t>less than</t>
  </si>
  <si>
    <t>greater than or equal to</t>
  </si>
  <si>
    <t>less than or equal to</t>
  </si>
  <si>
    <t>TOP</t>
  </si>
  <si>
    <t>BOTTON</t>
  </si>
  <si>
    <t>CONTAINING</t>
  </si>
  <si>
    <t>START WITH</t>
  </si>
  <si>
    <t>END WITH</t>
  </si>
  <si>
    <t>String</t>
  </si>
  <si>
    <t>Colour Palate</t>
  </si>
  <si>
    <t>Duplicate/unique</t>
  </si>
  <si>
    <t>APPLIED TO</t>
  </si>
  <si>
    <t>=A30:H38</t>
  </si>
  <si>
    <t>Formula</t>
  </si>
  <si>
    <t>Applied To</t>
  </si>
  <si>
    <t>=A44:G44</t>
  </si>
  <si>
    <t>Ex Formula</t>
  </si>
  <si>
    <t>=C3</t>
  </si>
  <si>
    <t>=E3&gt;25</t>
  </si>
  <si>
    <t>Ex 01</t>
  </si>
  <si>
    <t>Ex 02</t>
  </si>
  <si>
    <t>=E3&gt;66000</t>
  </si>
  <si>
    <t>=$F29&lt;60000</t>
  </si>
  <si>
    <t>salary less than 60000</t>
  </si>
  <si>
    <t>Salary is greater than 590000</t>
  </si>
  <si>
    <t>age is less than 24</t>
  </si>
  <si>
    <t>logic 01</t>
  </si>
  <si>
    <t>logic 02</t>
  </si>
  <si>
    <t>and</t>
  </si>
  <si>
    <t>=AND($F83&lt;59000,$E44&lt;83)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</si>
</sst>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m/yyyy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ndara"/>
      <family val="2"/>
    </font>
    <font>
      <sz val="10"/>
      <name val="Candara"/>
      <family val="2"/>
    </font>
    <font>
      <b/>
      <sz val="10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43" fontId="8" fillId="0" borderId="0" applyFont="0" applyFill="0" applyBorder="0" applyAlignment="0" applyProtection="0"/>
  </cellStyleXfs>
  <cellXfs count="38">
    <xf numFmtId="0" fontId="0" fillId="0" borderId="0" xfId="0"/>
    <xf numFmtId="0" fontId="4" fillId="0" borderId="1" xfId="0" applyFont="1" applyBorder="1" applyAlignment="1">
      <alignment horizontal="right" vertical="center" indent="1" readingOrder="1"/>
    </xf>
    <xf numFmtId="0" fontId="4" fillId="0" borderId="1" xfId="0" applyFont="1" applyFill="1" applyBorder="1" applyAlignment="1">
      <alignment horizontal="right" vertical="center" indent="1" readingOrder="1"/>
    </xf>
    <xf numFmtId="0" fontId="5" fillId="0" borderId="0" xfId="0" applyFont="1"/>
    <xf numFmtId="0" fontId="5" fillId="0" borderId="1" xfId="0" applyFont="1" applyFill="1" applyBorder="1" applyAlignment="1">
      <alignment horizontal="right" vertical="center" indent="1" readingOrder="1"/>
    </xf>
    <xf numFmtId="3" fontId="5" fillId="0" borderId="1" xfId="0" applyNumberFormat="1" applyFont="1" applyFill="1" applyBorder="1" applyAlignment="1">
      <alignment horizontal="right" vertical="center" indent="1" readingOrder="1"/>
    </xf>
    <xf numFmtId="0" fontId="5" fillId="0" borderId="1" xfId="1" applyFont="1" applyFill="1" applyBorder="1" applyAlignment="1">
      <alignment vertical="center"/>
    </xf>
    <xf numFmtId="0" fontId="5" fillId="0" borderId="1" xfId="2" applyFont="1" applyFill="1" applyBorder="1" applyAlignment="1">
      <alignment vertical="center"/>
    </xf>
    <xf numFmtId="0" fontId="5" fillId="0" borderId="1" xfId="1" applyFont="1" applyFill="1" applyBorder="1" applyAlignment="1">
      <alignment horizontal="right" vertical="center" indent="1" readingOrder="1"/>
    </xf>
    <xf numFmtId="3" fontId="5" fillId="0" borderId="1" xfId="1" applyNumberFormat="1" applyFont="1" applyFill="1" applyBorder="1" applyAlignment="1">
      <alignment horizontal="right" vertical="center" indent="1" readingOrder="1"/>
    </xf>
    <xf numFmtId="0" fontId="5" fillId="0" borderId="1" xfId="2" applyFont="1" applyFill="1" applyBorder="1" applyAlignment="1">
      <alignment horizontal="right" vertical="center" indent="1" readingOrder="1"/>
    </xf>
    <xf numFmtId="3" fontId="5" fillId="0" borderId="1" xfId="2" applyNumberFormat="1" applyFont="1" applyFill="1" applyBorder="1" applyAlignment="1">
      <alignment horizontal="right" vertical="center" indent="1" readingOrder="1"/>
    </xf>
    <xf numFmtId="0" fontId="6" fillId="0" borderId="0" xfId="0" applyFont="1"/>
    <xf numFmtId="0" fontId="5" fillId="0" borderId="1" xfId="3" applyFont="1" applyFill="1" applyBorder="1" applyAlignment="1">
      <alignment horizontal="right" vertical="center" indent="1" readingOrder="1"/>
    </xf>
    <xf numFmtId="3" fontId="5" fillId="0" borderId="1" xfId="3" applyNumberFormat="1" applyFont="1" applyFill="1" applyBorder="1" applyAlignment="1">
      <alignment horizontal="right" vertical="center" indent="1" readingOrder="1"/>
    </xf>
    <xf numFmtId="0" fontId="5" fillId="0" borderId="1" xfId="3" applyFont="1" applyFill="1" applyBorder="1" applyAlignment="1">
      <alignment vertical="center"/>
    </xf>
    <xf numFmtId="0" fontId="7" fillId="0" borderId="0" xfId="0" applyFont="1"/>
    <xf numFmtId="15" fontId="5" fillId="0" borderId="1" xfId="0" applyNumberFormat="1" applyFont="1" applyFill="1" applyBorder="1" applyAlignment="1">
      <alignment horizontal="right" vertical="center" indent="1" readingOrder="1"/>
    </xf>
    <xf numFmtId="0" fontId="5" fillId="0" borderId="1" xfId="0" applyFont="1" applyBorder="1"/>
    <xf numFmtId="3" fontId="5" fillId="0" borderId="0" xfId="0" applyNumberFormat="1" applyFont="1"/>
    <xf numFmtId="0" fontId="9" fillId="5" borderId="1" xfId="0" applyFont="1" applyFill="1" applyBorder="1" applyAlignment="1">
      <alignment horizontal="center" vertical="center"/>
    </xf>
    <xf numFmtId="0" fontId="5" fillId="6" borderId="0" xfId="0" applyFont="1" applyFill="1"/>
    <xf numFmtId="0" fontId="10" fillId="0" borderId="1" xfId="0" applyFont="1" applyFill="1" applyBorder="1" applyAlignment="1">
      <alignment vertical="center"/>
    </xf>
    <xf numFmtId="14" fontId="10" fillId="0" borderId="1" xfId="0" applyNumberFormat="1" applyFont="1" applyFill="1" applyBorder="1" applyAlignment="1">
      <alignment vertical="center"/>
    </xf>
    <xf numFmtId="0" fontId="10" fillId="0" borderId="1" xfId="2" applyFont="1" applyFill="1" applyBorder="1" applyAlignment="1">
      <alignment vertical="center"/>
    </xf>
    <xf numFmtId="0" fontId="5" fillId="6" borderId="0" xfId="0" quotePrefix="1" applyFont="1" applyFill="1"/>
    <xf numFmtId="0" fontId="10" fillId="0" borderId="1" xfId="3" applyFont="1" applyFill="1" applyBorder="1" applyAlignment="1">
      <alignment vertical="center"/>
    </xf>
    <xf numFmtId="0" fontId="10" fillId="0" borderId="1" xfId="1" applyFont="1" applyFill="1" applyBorder="1" applyAlignment="1">
      <alignment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5" fillId="0" borderId="0" xfId="0" quotePrefix="1" applyFont="1"/>
    <xf numFmtId="165" fontId="10" fillId="0" borderId="1" xfId="4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1" fillId="0" borderId="1" xfId="0" applyFont="1" applyFill="1" applyBorder="1" applyAlignment="1">
      <alignment vertical="center"/>
    </xf>
    <xf numFmtId="14" fontId="11" fillId="0" borderId="1" xfId="0" applyNumberFormat="1" applyFont="1" applyFill="1" applyBorder="1" applyAlignment="1">
      <alignment vertical="center"/>
    </xf>
    <xf numFmtId="0" fontId="11" fillId="0" borderId="1" xfId="3" applyFont="1" applyFill="1" applyBorder="1" applyAlignment="1">
      <alignment vertical="center"/>
    </xf>
    <xf numFmtId="0" fontId="4" fillId="0" borderId="0" xfId="0" applyFont="1"/>
    <xf numFmtId="0" fontId="11" fillId="0" borderId="1" xfId="1" applyFont="1" applyFill="1" applyBorder="1" applyAlignment="1">
      <alignment vertical="center"/>
    </xf>
    <xf numFmtId="0" fontId="11" fillId="0" borderId="1" xfId="2" applyFont="1" applyFill="1" applyBorder="1" applyAlignment="1">
      <alignment vertical="center"/>
    </xf>
  </cellXfs>
  <cellStyles count="5">
    <cellStyle name="Bad" xfId="2" builtinId="27"/>
    <cellStyle name="Comma" xfId="4" builtinId="3"/>
    <cellStyle name="Good" xfId="1" builtinId="26"/>
    <cellStyle name="Neutral" xfId="3" builtinId="28"/>
    <cellStyle name="Normal" xfId="0" builtinId="0"/>
  </cellStyles>
  <dxfs count="160"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00B0F0"/>
        </patternFill>
      </fill>
    </dxf>
    <dxf>
      <font>
        <b/>
        <i/>
      </font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H22" sqref="H22"/>
    </sheetView>
  </sheetViews>
  <sheetFormatPr defaultRowHeight="13.8" x14ac:dyDescent="0.3"/>
  <cols>
    <col min="1" max="1" width="11" style="3" bestFit="1" customWidth="1"/>
    <col min="2" max="2" width="10.6640625" style="3" bestFit="1" customWidth="1"/>
    <col min="3" max="3" width="16.33203125" style="3" bestFit="1" customWidth="1"/>
    <col min="4" max="4" width="14.88671875" style="3" bestFit="1" customWidth="1"/>
    <col min="5" max="5" width="5.5546875" style="3" bestFit="1" customWidth="1"/>
    <col min="6" max="6" width="9.88671875" style="3" bestFit="1" customWidth="1"/>
    <col min="7" max="7" width="11.6640625" style="3" bestFit="1" customWidth="1"/>
    <col min="8" max="8" width="9.44140625" style="3" bestFit="1" customWidth="1"/>
    <col min="9" max="9" width="8.88671875" style="3"/>
    <col min="10" max="10" width="11.6640625" style="3" bestFit="1" customWidth="1"/>
    <col min="11" max="11" width="20" style="3" bestFit="1" customWidth="1"/>
    <col min="12" max="12" width="9.44140625" style="3" bestFit="1" customWidth="1"/>
    <col min="13" max="13" width="3" style="3" bestFit="1" customWidth="1"/>
    <col min="14" max="14" width="8.88671875" style="3"/>
    <col min="15" max="15" width="11.44140625" style="3" bestFit="1" customWidth="1"/>
    <col min="16" max="16" width="21.109375" style="3" bestFit="1" customWidth="1"/>
    <col min="17" max="17" width="6.44140625" style="3" bestFit="1" customWidth="1"/>
    <col min="18" max="18" width="3.21875" style="3" bestFit="1" customWidth="1"/>
    <col min="19" max="19" width="8.88671875" style="3"/>
    <col min="20" max="20" width="12" style="3" bestFit="1" customWidth="1"/>
    <col min="21" max="16384" width="8.88671875" style="3"/>
  </cols>
  <sheetData>
    <row r="1" spans="1:15" x14ac:dyDescent="0.3">
      <c r="A1" s="3" t="s">
        <v>90</v>
      </c>
    </row>
    <row r="2" spans="1:15" x14ac:dyDescent="0.3">
      <c r="A2" s="1" t="s">
        <v>1</v>
      </c>
      <c r="B2" s="1" t="s">
        <v>2</v>
      </c>
      <c r="C2" s="1" t="s">
        <v>22</v>
      </c>
      <c r="D2" s="1" t="s">
        <v>23</v>
      </c>
      <c r="E2" s="1" t="s">
        <v>3</v>
      </c>
      <c r="F2" s="18" t="s">
        <v>3</v>
      </c>
      <c r="G2" s="18" t="s">
        <v>3</v>
      </c>
      <c r="H2" s="18" t="s">
        <v>3</v>
      </c>
      <c r="I2" s="18" t="s">
        <v>3</v>
      </c>
      <c r="J2" s="1" t="s">
        <v>24</v>
      </c>
      <c r="K2" s="1" t="s">
        <v>25</v>
      </c>
      <c r="L2" s="2" t="s">
        <v>48</v>
      </c>
    </row>
    <row r="3" spans="1:15" x14ac:dyDescent="0.3">
      <c r="A3" s="4" t="s">
        <v>20</v>
      </c>
      <c r="B3" s="4" t="s">
        <v>21</v>
      </c>
      <c r="C3" s="4" t="s">
        <v>26</v>
      </c>
      <c r="D3" s="4" t="s">
        <v>30</v>
      </c>
      <c r="E3" s="4">
        <v>27</v>
      </c>
      <c r="F3" s="18">
        <v>27</v>
      </c>
      <c r="G3" s="18">
        <v>27</v>
      </c>
      <c r="H3" s="18">
        <v>27</v>
      </c>
      <c r="I3" s="18">
        <v>27</v>
      </c>
      <c r="J3" s="5">
        <v>650000</v>
      </c>
      <c r="K3" s="4">
        <v>35</v>
      </c>
      <c r="L3" s="6" t="s">
        <v>47</v>
      </c>
    </row>
    <row r="4" spans="1:15" x14ac:dyDescent="0.3">
      <c r="A4" s="4" t="s">
        <v>4</v>
      </c>
      <c r="B4" s="4" t="s">
        <v>38</v>
      </c>
      <c r="C4" s="4" t="s">
        <v>26</v>
      </c>
      <c r="D4" s="4" t="s">
        <v>27</v>
      </c>
      <c r="E4" s="4">
        <v>28</v>
      </c>
      <c r="F4" s="18">
        <v>28</v>
      </c>
      <c r="G4" s="18">
        <v>28</v>
      </c>
      <c r="H4" s="18">
        <v>28</v>
      </c>
      <c r="I4" s="18">
        <v>28</v>
      </c>
      <c r="J4" s="5">
        <v>600000</v>
      </c>
      <c r="K4" s="4">
        <v>50</v>
      </c>
      <c r="L4" s="6" t="s">
        <v>44</v>
      </c>
    </row>
    <row r="5" spans="1:15" x14ac:dyDescent="0.3">
      <c r="A5" s="4" t="s">
        <v>4</v>
      </c>
      <c r="B5" s="4" t="s">
        <v>5</v>
      </c>
      <c r="C5" s="4" t="s">
        <v>26</v>
      </c>
      <c r="D5" s="4" t="s">
        <v>27</v>
      </c>
      <c r="E5" s="4">
        <v>28</v>
      </c>
      <c r="F5" s="18">
        <v>28</v>
      </c>
      <c r="G5" s="18">
        <v>28</v>
      </c>
      <c r="H5" s="18">
        <v>28</v>
      </c>
      <c r="I5" s="18">
        <v>28</v>
      </c>
      <c r="J5" s="5">
        <v>650000</v>
      </c>
      <c r="K5" s="4">
        <v>50</v>
      </c>
      <c r="L5" s="7" t="s">
        <v>45</v>
      </c>
    </row>
    <row r="6" spans="1:15" x14ac:dyDescent="0.3">
      <c r="A6" s="8" t="s">
        <v>16</v>
      </c>
      <c r="B6" s="8" t="s">
        <v>17</v>
      </c>
      <c r="C6" s="8" t="s">
        <v>28</v>
      </c>
      <c r="D6" s="4" t="s">
        <v>29</v>
      </c>
      <c r="E6" s="8">
        <v>31</v>
      </c>
      <c r="F6" s="18">
        <v>31</v>
      </c>
      <c r="G6" s="18">
        <v>31</v>
      </c>
      <c r="H6" s="18">
        <v>31</v>
      </c>
      <c r="I6" s="18">
        <v>31</v>
      </c>
      <c r="J6" s="9">
        <v>900000</v>
      </c>
      <c r="K6" s="8">
        <v>110</v>
      </c>
      <c r="L6" s="7" t="s">
        <v>45</v>
      </c>
      <c r="O6" s="19"/>
    </row>
    <row r="7" spans="1:15" x14ac:dyDescent="0.3">
      <c r="A7" s="8" t="s">
        <v>6</v>
      </c>
      <c r="B7" s="8" t="s">
        <v>7</v>
      </c>
      <c r="C7" s="8" t="s">
        <v>28</v>
      </c>
      <c r="D7" s="4" t="s">
        <v>29</v>
      </c>
      <c r="E7" s="8">
        <v>32</v>
      </c>
      <c r="F7" s="18">
        <v>32</v>
      </c>
      <c r="G7" s="18">
        <v>32</v>
      </c>
      <c r="H7" s="18">
        <v>32</v>
      </c>
      <c r="I7" s="18">
        <v>32</v>
      </c>
      <c r="J7" s="9">
        <v>850000</v>
      </c>
      <c r="K7" s="8">
        <v>120</v>
      </c>
      <c r="L7" s="7" t="s">
        <v>47</v>
      </c>
    </row>
    <row r="8" spans="1:15" x14ac:dyDescent="0.3">
      <c r="A8" s="10" t="s">
        <v>34</v>
      </c>
      <c r="B8" s="10" t="s">
        <v>40</v>
      </c>
      <c r="C8" s="10" t="s">
        <v>28</v>
      </c>
      <c r="D8" s="4" t="s">
        <v>32</v>
      </c>
      <c r="E8" s="10">
        <v>33</v>
      </c>
      <c r="F8" s="18">
        <v>33</v>
      </c>
      <c r="G8" s="18">
        <v>33</v>
      </c>
      <c r="H8" s="18">
        <v>33</v>
      </c>
      <c r="I8" s="18">
        <v>33</v>
      </c>
      <c r="J8" s="11">
        <v>950000</v>
      </c>
      <c r="K8" s="10">
        <v>55</v>
      </c>
      <c r="L8" s="6" t="s">
        <v>47</v>
      </c>
    </row>
    <row r="9" spans="1:15" x14ac:dyDescent="0.3">
      <c r="A9" s="8" t="s">
        <v>34</v>
      </c>
      <c r="B9" s="8" t="s">
        <v>39</v>
      </c>
      <c r="C9" s="8" t="s">
        <v>26</v>
      </c>
      <c r="D9" s="4" t="s">
        <v>33</v>
      </c>
      <c r="E9" s="8">
        <v>33</v>
      </c>
      <c r="F9" s="18">
        <v>33</v>
      </c>
      <c r="G9" s="18">
        <v>33</v>
      </c>
      <c r="H9" s="18">
        <v>33</v>
      </c>
      <c r="I9" s="18">
        <v>33</v>
      </c>
      <c r="J9" s="9">
        <v>950000</v>
      </c>
      <c r="K9" s="8">
        <v>55</v>
      </c>
      <c r="L9" s="6" t="s">
        <v>47</v>
      </c>
    </row>
    <row r="10" spans="1:15" x14ac:dyDescent="0.3">
      <c r="A10" s="8" t="s">
        <v>34</v>
      </c>
      <c r="B10" s="8" t="s">
        <v>35</v>
      </c>
      <c r="C10" s="8" t="s">
        <v>26</v>
      </c>
      <c r="D10" s="4" t="s">
        <v>33</v>
      </c>
      <c r="E10" s="8">
        <v>33</v>
      </c>
      <c r="F10" s="18">
        <v>33</v>
      </c>
      <c r="G10" s="18">
        <v>33</v>
      </c>
      <c r="H10" s="18">
        <v>33</v>
      </c>
      <c r="I10" s="18">
        <v>33</v>
      </c>
      <c r="J10" s="9">
        <v>950000</v>
      </c>
      <c r="K10" s="8">
        <v>55</v>
      </c>
      <c r="L10" s="7" t="s">
        <v>45</v>
      </c>
    </row>
    <row r="11" spans="1:15" x14ac:dyDescent="0.3">
      <c r="A11" s="10" t="s">
        <v>8</v>
      </c>
      <c r="B11" s="10" t="s">
        <v>9</v>
      </c>
      <c r="C11" s="10" t="s">
        <v>26</v>
      </c>
      <c r="D11" s="4" t="s">
        <v>30</v>
      </c>
      <c r="E11" s="10">
        <v>35</v>
      </c>
      <c r="F11" s="18">
        <v>35</v>
      </c>
      <c r="G11" s="18">
        <v>35</v>
      </c>
      <c r="H11" s="18">
        <v>35</v>
      </c>
      <c r="I11" s="18">
        <v>35</v>
      </c>
      <c r="J11" s="11">
        <v>1200000</v>
      </c>
      <c r="K11" s="10">
        <v>30</v>
      </c>
      <c r="L11" s="6" t="s">
        <v>47</v>
      </c>
    </row>
    <row r="12" spans="1:15" x14ac:dyDescent="0.3">
      <c r="A12" s="13" t="s">
        <v>36</v>
      </c>
      <c r="B12" s="13" t="s">
        <v>37</v>
      </c>
      <c r="C12" s="13" t="s">
        <v>28</v>
      </c>
      <c r="D12" s="4" t="s">
        <v>32</v>
      </c>
      <c r="E12" s="13">
        <v>36</v>
      </c>
      <c r="F12" s="18">
        <v>36</v>
      </c>
      <c r="G12" s="18">
        <v>36</v>
      </c>
      <c r="H12" s="18">
        <v>36</v>
      </c>
      <c r="I12" s="18">
        <v>36</v>
      </c>
      <c r="J12" s="14">
        <v>1300000</v>
      </c>
      <c r="K12" s="13">
        <v>25</v>
      </c>
      <c r="L12" s="15" t="s">
        <v>44</v>
      </c>
    </row>
    <row r="13" spans="1:15" x14ac:dyDescent="0.3">
      <c r="A13" s="10" t="s">
        <v>14</v>
      </c>
      <c r="B13" s="10" t="s">
        <v>15</v>
      </c>
      <c r="C13" s="10" t="s">
        <v>26</v>
      </c>
      <c r="D13" s="4" t="s">
        <v>33</v>
      </c>
      <c r="E13" s="10">
        <v>38</v>
      </c>
      <c r="F13" s="18">
        <v>38</v>
      </c>
      <c r="G13" s="18">
        <v>38</v>
      </c>
      <c r="H13" s="18">
        <v>38</v>
      </c>
      <c r="I13" s="18">
        <v>38</v>
      </c>
      <c r="J13" s="11">
        <v>1150000</v>
      </c>
      <c r="K13" s="10">
        <v>60</v>
      </c>
      <c r="L13" s="15" t="s">
        <v>44</v>
      </c>
    </row>
    <row r="14" spans="1:15" x14ac:dyDescent="0.3">
      <c r="A14" s="13" t="s">
        <v>10</v>
      </c>
      <c r="B14" s="13" t="s">
        <v>11</v>
      </c>
      <c r="C14" s="13" t="s">
        <v>28</v>
      </c>
      <c r="D14" s="4" t="s">
        <v>31</v>
      </c>
      <c r="E14" s="13">
        <v>41</v>
      </c>
      <c r="F14" s="18">
        <v>41</v>
      </c>
      <c r="G14" s="18">
        <v>41</v>
      </c>
      <c r="H14" s="18">
        <v>41</v>
      </c>
      <c r="I14" s="18">
        <v>41</v>
      </c>
      <c r="J14" s="14">
        <v>1500000</v>
      </c>
      <c r="K14" s="13">
        <v>85</v>
      </c>
      <c r="L14" s="7" t="s">
        <v>45</v>
      </c>
    </row>
    <row r="15" spans="1:15" x14ac:dyDescent="0.3">
      <c r="A15" s="13" t="s">
        <v>18</v>
      </c>
      <c r="B15" s="13" t="s">
        <v>19</v>
      </c>
      <c r="C15" s="13" t="s">
        <v>28</v>
      </c>
      <c r="D15" s="4" t="s">
        <v>31</v>
      </c>
      <c r="E15" s="13">
        <v>42</v>
      </c>
      <c r="F15" s="18">
        <v>42</v>
      </c>
      <c r="G15" s="18">
        <v>42</v>
      </c>
      <c r="H15" s="18">
        <v>42</v>
      </c>
      <c r="I15" s="18">
        <v>42</v>
      </c>
      <c r="J15" s="14">
        <v>1650000</v>
      </c>
      <c r="K15" s="13">
        <v>75</v>
      </c>
      <c r="L15" s="15" t="s">
        <v>46</v>
      </c>
    </row>
    <row r="16" spans="1:15" x14ac:dyDescent="0.3">
      <c r="A16" s="13" t="s">
        <v>12</v>
      </c>
      <c r="B16" s="13" t="s">
        <v>13</v>
      </c>
      <c r="C16" s="13" t="s">
        <v>28</v>
      </c>
      <c r="D16" s="4" t="s">
        <v>32</v>
      </c>
      <c r="E16" s="13">
        <v>45</v>
      </c>
      <c r="F16" s="18">
        <v>45</v>
      </c>
      <c r="G16" s="18">
        <v>45</v>
      </c>
      <c r="H16" s="18">
        <v>45</v>
      </c>
      <c r="I16" s="18">
        <v>45</v>
      </c>
      <c r="J16" s="14">
        <v>1800000</v>
      </c>
      <c r="K16" s="13">
        <v>20</v>
      </c>
      <c r="L16" s="7" t="s">
        <v>45</v>
      </c>
    </row>
    <row r="18" spans="1:16" x14ac:dyDescent="0.3">
      <c r="K18" s="16"/>
    </row>
    <row r="20" spans="1:16" x14ac:dyDescent="0.3">
      <c r="B20" s="3" t="s">
        <v>91</v>
      </c>
    </row>
    <row r="21" spans="1:16" x14ac:dyDescent="0.3">
      <c r="A21" s="1" t="s">
        <v>1</v>
      </c>
      <c r="B21" s="1" t="s">
        <v>2</v>
      </c>
      <c r="C21" s="1" t="s">
        <v>22</v>
      </c>
      <c r="D21" s="1" t="s">
        <v>23</v>
      </c>
      <c r="E21" s="1" t="s">
        <v>3</v>
      </c>
      <c r="F21" s="1" t="s">
        <v>24</v>
      </c>
      <c r="G21" s="1" t="s">
        <v>42</v>
      </c>
      <c r="H21" s="2" t="s">
        <v>48</v>
      </c>
      <c r="J21" s="3" t="s">
        <v>41</v>
      </c>
      <c r="L21" s="3" t="s">
        <v>75</v>
      </c>
      <c r="N21" s="3" t="s">
        <v>89</v>
      </c>
      <c r="P21" s="3" t="s">
        <v>42</v>
      </c>
    </row>
    <row r="22" spans="1:16" x14ac:dyDescent="0.3">
      <c r="A22" s="4" t="s">
        <v>20</v>
      </c>
      <c r="B22" s="4" t="s">
        <v>21</v>
      </c>
      <c r="C22" s="4" t="s">
        <v>26</v>
      </c>
      <c r="D22" s="4" t="s">
        <v>30</v>
      </c>
      <c r="E22" s="4">
        <v>27</v>
      </c>
      <c r="F22" s="5">
        <v>650000</v>
      </c>
      <c r="G22" s="17">
        <f ca="1">TODAY()-1</f>
        <v>46202</v>
      </c>
      <c r="H22" s="6" t="s">
        <v>47</v>
      </c>
      <c r="K22" s="3" t="s">
        <v>74</v>
      </c>
      <c r="O22" s="3" t="s">
        <v>86</v>
      </c>
    </row>
    <row r="23" spans="1:16" x14ac:dyDescent="0.3">
      <c r="A23" s="4" t="s">
        <v>4</v>
      </c>
      <c r="B23" s="4" t="s">
        <v>38</v>
      </c>
      <c r="C23" s="4" t="s">
        <v>26</v>
      </c>
      <c r="D23" s="4" t="s">
        <v>27</v>
      </c>
      <c r="E23" s="4">
        <v>28</v>
      </c>
      <c r="F23" s="5">
        <v>600000</v>
      </c>
      <c r="G23" s="17">
        <f ca="1">G22+1</f>
        <v>46203</v>
      </c>
      <c r="H23" s="6" t="s">
        <v>44</v>
      </c>
      <c r="K23" s="12" t="s">
        <v>76</v>
      </c>
      <c r="L23" s="3">
        <v>10</v>
      </c>
      <c r="M23" s="3">
        <v>25</v>
      </c>
      <c r="O23" s="3" t="s">
        <v>87</v>
      </c>
    </row>
    <row r="24" spans="1:16" x14ac:dyDescent="0.3">
      <c r="A24" s="4" t="s">
        <v>4</v>
      </c>
      <c r="B24" s="4" t="s">
        <v>5</v>
      </c>
      <c r="C24" s="4" t="s">
        <v>26</v>
      </c>
      <c r="D24" s="4" t="s">
        <v>27</v>
      </c>
      <c r="E24" s="4">
        <v>28</v>
      </c>
      <c r="F24" s="5">
        <v>650000</v>
      </c>
      <c r="G24" s="17">
        <f t="shared" ref="G24:G35" ca="1" si="0">G23+1</f>
        <v>46204</v>
      </c>
      <c r="H24" s="7" t="s">
        <v>45</v>
      </c>
      <c r="K24" s="12" t="s">
        <v>77</v>
      </c>
      <c r="L24" s="3">
        <v>30</v>
      </c>
      <c r="M24" s="3">
        <v>40</v>
      </c>
      <c r="O24" s="3" t="s">
        <v>88</v>
      </c>
    </row>
    <row r="25" spans="1:16" x14ac:dyDescent="0.3">
      <c r="A25" s="8" t="s">
        <v>16</v>
      </c>
      <c r="B25" s="8" t="s">
        <v>17</v>
      </c>
      <c r="C25" s="8" t="s">
        <v>28</v>
      </c>
      <c r="D25" s="4" t="s">
        <v>29</v>
      </c>
      <c r="E25" s="8">
        <v>31</v>
      </c>
      <c r="F25" s="9">
        <v>900000</v>
      </c>
      <c r="G25" s="17">
        <f t="shared" ca="1" si="0"/>
        <v>46205</v>
      </c>
      <c r="H25" s="7" t="s">
        <v>45</v>
      </c>
      <c r="K25" s="12" t="s">
        <v>78</v>
      </c>
    </row>
    <row r="26" spans="1:16" x14ac:dyDescent="0.3">
      <c r="A26" s="8" t="s">
        <v>6</v>
      </c>
      <c r="B26" s="8" t="s">
        <v>7</v>
      </c>
      <c r="C26" s="8" t="s">
        <v>28</v>
      </c>
      <c r="D26" s="4" t="s">
        <v>29</v>
      </c>
      <c r="E26" s="8">
        <v>32</v>
      </c>
      <c r="F26" s="9">
        <v>850000</v>
      </c>
      <c r="G26" s="17">
        <f t="shared" ca="1" si="0"/>
        <v>46206</v>
      </c>
      <c r="H26" s="7" t="s">
        <v>47</v>
      </c>
      <c r="K26" s="12" t="s">
        <v>79</v>
      </c>
    </row>
    <row r="27" spans="1:16" x14ac:dyDescent="0.3">
      <c r="A27" s="10" t="s">
        <v>34</v>
      </c>
      <c r="B27" s="10" t="s">
        <v>40</v>
      </c>
      <c r="C27" s="10" t="s">
        <v>28</v>
      </c>
      <c r="D27" s="4" t="s">
        <v>32</v>
      </c>
      <c r="E27" s="10">
        <v>33</v>
      </c>
      <c r="F27" s="11">
        <v>950000</v>
      </c>
      <c r="G27" s="17">
        <f t="shared" ca="1" si="0"/>
        <v>46207</v>
      </c>
      <c r="H27" s="6" t="s">
        <v>47</v>
      </c>
      <c r="K27" s="12" t="s">
        <v>80</v>
      </c>
      <c r="L27" s="3">
        <v>30</v>
      </c>
    </row>
    <row r="28" spans="1:16" x14ac:dyDescent="0.3">
      <c r="A28" s="8" t="s">
        <v>34</v>
      </c>
      <c r="B28" s="8" t="s">
        <v>39</v>
      </c>
      <c r="C28" s="8" t="s">
        <v>26</v>
      </c>
      <c r="D28" s="4" t="s">
        <v>33</v>
      </c>
      <c r="E28" s="8">
        <v>33</v>
      </c>
      <c r="F28" s="9">
        <v>950000</v>
      </c>
      <c r="G28" s="17">
        <f t="shared" ca="1" si="0"/>
        <v>46208</v>
      </c>
      <c r="H28" s="6" t="s">
        <v>47</v>
      </c>
      <c r="K28" s="12" t="s">
        <v>81</v>
      </c>
    </row>
    <row r="29" spans="1:16" x14ac:dyDescent="0.3">
      <c r="A29" s="8" t="s">
        <v>34</v>
      </c>
      <c r="B29" s="8" t="s">
        <v>35</v>
      </c>
      <c r="C29" s="8" t="s">
        <v>26</v>
      </c>
      <c r="D29" s="4" t="s">
        <v>33</v>
      </c>
      <c r="E29" s="8">
        <v>33</v>
      </c>
      <c r="F29" s="9">
        <v>950000</v>
      </c>
      <c r="G29" s="17">
        <f t="shared" ca="1" si="0"/>
        <v>46209</v>
      </c>
      <c r="H29" s="7" t="s">
        <v>45</v>
      </c>
      <c r="K29" s="12" t="s">
        <v>82</v>
      </c>
    </row>
    <row r="30" spans="1:16" x14ac:dyDescent="0.3">
      <c r="A30" s="10" t="s">
        <v>8</v>
      </c>
      <c r="B30" s="10" t="s">
        <v>9</v>
      </c>
      <c r="C30" s="10" t="s">
        <v>26</v>
      </c>
      <c r="D30" s="4" t="s">
        <v>30</v>
      </c>
      <c r="E30" s="10">
        <v>35</v>
      </c>
      <c r="F30" s="11">
        <v>1200000</v>
      </c>
      <c r="G30" s="17">
        <f t="shared" ca="1" si="0"/>
        <v>46210</v>
      </c>
      <c r="H30" s="6" t="s">
        <v>47</v>
      </c>
      <c r="K30" s="12" t="s">
        <v>83</v>
      </c>
    </row>
    <row r="31" spans="1:16" x14ac:dyDescent="0.3">
      <c r="A31" s="13" t="s">
        <v>36</v>
      </c>
      <c r="B31" s="13" t="s">
        <v>37</v>
      </c>
      <c r="C31" s="13" t="s">
        <v>28</v>
      </c>
      <c r="D31" s="4" t="s">
        <v>32</v>
      </c>
      <c r="E31" s="13">
        <v>36</v>
      </c>
      <c r="F31" s="14">
        <v>1300000</v>
      </c>
      <c r="G31" s="17">
        <f t="shared" ca="1" si="0"/>
        <v>46211</v>
      </c>
      <c r="H31" s="15" t="s">
        <v>44</v>
      </c>
    </row>
    <row r="32" spans="1:16" x14ac:dyDescent="0.3">
      <c r="A32" s="10" t="s">
        <v>14</v>
      </c>
      <c r="B32" s="10" t="s">
        <v>15</v>
      </c>
      <c r="C32" s="10" t="s">
        <v>26</v>
      </c>
      <c r="D32" s="4" t="s">
        <v>33</v>
      </c>
      <c r="E32" s="10">
        <v>38</v>
      </c>
      <c r="F32" s="11">
        <v>1150000</v>
      </c>
      <c r="G32" s="17">
        <f t="shared" ca="1" si="0"/>
        <v>46212</v>
      </c>
      <c r="H32" s="15" t="s">
        <v>44</v>
      </c>
      <c r="J32" s="12" t="s">
        <v>84</v>
      </c>
      <c r="K32" s="3">
        <v>10</v>
      </c>
    </row>
    <row r="33" spans="1:11" x14ac:dyDescent="0.3">
      <c r="A33" s="13" t="s">
        <v>10</v>
      </c>
      <c r="B33" s="13" t="s">
        <v>11</v>
      </c>
      <c r="C33" s="13" t="s">
        <v>28</v>
      </c>
      <c r="D33" s="4" t="s">
        <v>31</v>
      </c>
      <c r="E33" s="13">
        <v>41</v>
      </c>
      <c r="F33" s="14">
        <v>1500000</v>
      </c>
      <c r="G33" s="17">
        <f t="shared" ca="1" si="0"/>
        <v>46213</v>
      </c>
      <c r="H33" s="7" t="s">
        <v>45</v>
      </c>
      <c r="J33" s="3" t="s">
        <v>85</v>
      </c>
      <c r="K33" s="3">
        <v>10</v>
      </c>
    </row>
    <row r="34" spans="1:11" x14ac:dyDescent="0.3">
      <c r="A34" s="13" t="s">
        <v>18</v>
      </c>
      <c r="B34" s="13" t="s">
        <v>19</v>
      </c>
      <c r="C34" s="13" t="s">
        <v>28</v>
      </c>
      <c r="D34" s="4" t="s">
        <v>31</v>
      </c>
      <c r="E34" s="13">
        <v>42</v>
      </c>
      <c r="F34" s="14">
        <v>1650000</v>
      </c>
      <c r="G34" s="17">
        <f t="shared" ca="1" si="0"/>
        <v>46214</v>
      </c>
      <c r="H34" s="15" t="s">
        <v>46</v>
      </c>
    </row>
    <row r="35" spans="1:11" x14ac:dyDescent="0.3">
      <c r="A35" s="13" t="s">
        <v>12</v>
      </c>
      <c r="B35" s="13" t="s">
        <v>13</v>
      </c>
      <c r="C35" s="13" t="s">
        <v>28</v>
      </c>
      <c r="D35" s="4" t="s">
        <v>32</v>
      </c>
      <c r="E35" s="13">
        <v>45</v>
      </c>
      <c r="F35" s="14">
        <v>1800000</v>
      </c>
      <c r="G35" s="17">
        <f t="shared" ca="1" si="0"/>
        <v>46215</v>
      </c>
      <c r="H35" s="7" t="s">
        <v>45</v>
      </c>
    </row>
  </sheetData>
  <sortState ref="A2:H15">
    <sortCondition ref="E2:E15"/>
  </sortState>
  <conditionalFormatting sqref="E3:E16">
    <cfRule type="colorScale" priority="8">
      <colorScale>
        <cfvo type="num" val="27"/>
        <cfvo type="num" val="45"/>
        <color rgb="FFFF7128"/>
        <color rgb="FFFFEF9C"/>
      </colorScale>
    </cfRule>
  </conditionalFormatting>
  <conditionalFormatting sqref="G22:G35">
    <cfRule type="timePeriod" dxfId="40" priority="5" timePeriod="tomorrow">
      <formula>FLOOR(G22,1)=TODAY()+1</formula>
    </cfRule>
    <cfRule type="timePeriod" dxfId="39" priority="6" timePeriod="yesterday">
      <formula>FLOOR(G22,1)=TODAY()-1</formula>
    </cfRule>
  </conditionalFormatting>
  <conditionalFormatting sqref="B22:B35">
    <cfRule type="uniqueValues" dxfId="38" priority="3"/>
    <cfRule type="duplicateValues" dxfId="37" priority="4"/>
  </conditionalFormatting>
  <conditionalFormatting sqref="F3:F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{63184141-F75F-4BB0-9BE2-7E84E4C4461F}</x14:id>
        </ext>
      </extLst>
    </cfRule>
  </conditionalFormatting>
  <conditionalFormatting sqref="J3:J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184141-F75F-4BB0-9BE2-7E84E4C446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abSelected="1" topLeftCell="A65" workbookViewId="0">
      <selection activeCell="J74" sqref="J74"/>
    </sheetView>
  </sheetViews>
  <sheetFormatPr defaultRowHeight="13.8" x14ac:dyDescent="0.3"/>
  <cols>
    <col min="1" max="1" width="4" style="3" bestFit="1" customWidth="1"/>
    <col min="2" max="2" width="6.44140625" style="3" bestFit="1" customWidth="1"/>
    <col min="3" max="3" width="10.88671875" style="3" bestFit="1" customWidth="1"/>
    <col min="4" max="4" width="10.109375" style="3" bestFit="1" customWidth="1"/>
    <col min="5" max="5" width="3.88671875" style="3" bestFit="1" customWidth="1"/>
    <col min="6" max="6" width="7.33203125" style="3" bestFit="1" customWidth="1"/>
    <col min="7" max="7" width="10.77734375" style="3" bestFit="1" customWidth="1"/>
    <col min="8" max="8" width="9.44140625" style="3" bestFit="1" customWidth="1"/>
    <col min="9" max="9" width="5.88671875" style="3" bestFit="1" customWidth="1"/>
    <col min="10" max="10" width="18.88671875" style="3" bestFit="1" customWidth="1"/>
    <col min="11" max="11" width="7.44140625" style="3" bestFit="1" customWidth="1"/>
    <col min="12" max="12" width="22.33203125" style="3" bestFit="1" customWidth="1"/>
    <col min="13" max="14" width="10.5546875" style="3" bestFit="1" customWidth="1"/>
    <col min="15" max="15" width="10" style="3" bestFit="1" customWidth="1"/>
    <col min="16" max="16" width="22.33203125" style="3" bestFit="1" customWidth="1"/>
    <col min="17" max="16384" width="8.88671875" style="3"/>
  </cols>
  <sheetData>
    <row r="1" spans="1:16" x14ac:dyDescent="0.3">
      <c r="L1" s="31" t="s">
        <v>100</v>
      </c>
      <c r="M1" s="31"/>
      <c r="O1" s="31" t="s">
        <v>101</v>
      </c>
      <c r="P1" s="31"/>
    </row>
    <row r="2" spans="1:16" x14ac:dyDescent="0.3">
      <c r="A2" s="20" t="s">
        <v>49</v>
      </c>
      <c r="B2" s="20" t="s">
        <v>50</v>
      </c>
      <c r="C2" s="20" t="s">
        <v>51</v>
      </c>
      <c r="D2" s="20" t="s">
        <v>52</v>
      </c>
      <c r="E2" s="20" t="s">
        <v>0</v>
      </c>
      <c r="F2" s="20" t="s">
        <v>24</v>
      </c>
      <c r="G2" s="20" t="s">
        <v>53</v>
      </c>
      <c r="H2" s="20" t="s">
        <v>48</v>
      </c>
      <c r="L2" s="21" t="s">
        <v>97</v>
      </c>
      <c r="M2" s="21" t="s">
        <v>92</v>
      </c>
      <c r="O2" s="21" t="s">
        <v>97</v>
      </c>
      <c r="P2" s="21" t="s">
        <v>92</v>
      </c>
    </row>
    <row r="3" spans="1:16" x14ac:dyDescent="0.3">
      <c r="A3" s="22">
        <v>101</v>
      </c>
      <c r="B3" s="22" t="s">
        <v>54</v>
      </c>
      <c r="C3" s="22" t="s">
        <v>55</v>
      </c>
      <c r="D3" s="22" t="s">
        <v>56</v>
      </c>
      <c r="E3" s="22">
        <v>20</v>
      </c>
      <c r="F3" s="22">
        <v>50000</v>
      </c>
      <c r="G3" s="23">
        <v>44573</v>
      </c>
      <c r="H3" s="24" t="s">
        <v>47</v>
      </c>
      <c r="L3" s="25" t="s">
        <v>99</v>
      </c>
      <c r="M3" s="25" t="s">
        <v>98</v>
      </c>
      <c r="O3" s="25" t="s">
        <v>102</v>
      </c>
      <c r="P3" s="25" t="s">
        <v>98</v>
      </c>
    </row>
    <row r="4" spans="1:16" x14ac:dyDescent="0.3">
      <c r="A4" s="22">
        <v>102</v>
      </c>
      <c r="B4" s="22" t="s">
        <v>57</v>
      </c>
      <c r="C4" s="22" t="s">
        <v>58</v>
      </c>
      <c r="D4" s="22" t="s">
        <v>59</v>
      </c>
      <c r="E4" s="22">
        <v>21</v>
      </c>
      <c r="F4" s="22">
        <v>60000</v>
      </c>
      <c r="G4" s="23">
        <v>44270</v>
      </c>
      <c r="H4" s="24" t="s">
        <v>45</v>
      </c>
    </row>
    <row r="5" spans="1:16" x14ac:dyDescent="0.3">
      <c r="A5" s="32">
        <v>103</v>
      </c>
      <c r="B5" s="22" t="s">
        <v>60</v>
      </c>
      <c r="C5" s="32" t="s">
        <v>61</v>
      </c>
      <c r="D5" s="32" t="s">
        <v>62</v>
      </c>
      <c r="E5" s="32">
        <v>22</v>
      </c>
      <c r="F5" s="32">
        <v>75000</v>
      </c>
      <c r="G5" s="33">
        <v>44032</v>
      </c>
      <c r="H5" s="34" t="s">
        <v>44</v>
      </c>
      <c r="I5" s="35"/>
      <c r="J5" s="35"/>
    </row>
    <row r="6" spans="1:16" x14ac:dyDescent="0.3">
      <c r="A6" s="22">
        <v>104</v>
      </c>
      <c r="B6" s="22" t="s">
        <v>63</v>
      </c>
      <c r="C6" s="22" t="s">
        <v>64</v>
      </c>
      <c r="D6" s="22" t="s">
        <v>65</v>
      </c>
      <c r="E6" s="22">
        <v>23</v>
      </c>
      <c r="F6" s="22">
        <v>65000</v>
      </c>
      <c r="G6" s="23">
        <v>44967</v>
      </c>
      <c r="H6" s="24" t="s">
        <v>45</v>
      </c>
    </row>
    <row r="7" spans="1:16" x14ac:dyDescent="0.3">
      <c r="A7" s="32">
        <v>105</v>
      </c>
      <c r="B7" s="22" t="s">
        <v>66</v>
      </c>
      <c r="C7" s="32" t="s">
        <v>61</v>
      </c>
      <c r="D7" s="32" t="s">
        <v>56</v>
      </c>
      <c r="E7" s="32">
        <v>24</v>
      </c>
      <c r="F7" s="32">
        <v>72000</v>
      </c>
      <c r="G7" s="33">
        <v>44699</v>
      </c>
      <c r="H7" s="36" t="s">
        <v>47</v>
      </c>
      <c r="I7" s="35"/>
      <c r="J7" s="35"/>
    </row>
    <row r="8" spans="1:16" x14ac:dyDescent="0.3">
      <c r="A8" s="22">
        <v>106</v>
      </c>
      <c r="B8" s="22" t="s">
        <v>43</v>
      </c>
      <c r="C8" s="22" t="s">
        <v>55</v>
      </c>
      <c r="D8" s="22" t="s">
        <v>67</v>
      </c>
      <c r="E8" s="22">
        <v>25</v>
      </c>
      <c r="F8" s="22">
        <v>48000</v>
      </c>
      <c r="G8" s="23">
        <v>44433</v>
      </c>
      <c r="H8" s="26" t="s">
        <v>44</v>
      </c>
    </row>
    <row r="9" spans="1:16" x14ac:dyDescent="0.3">
      <c r="A9" s="22">
        <v>107</v>
      </c>
      <c r="B9" s="22" t="s">
        <v>68</v>
      </c>
      <c r="C9" s="22" t="s">
        <v>58</v>
      </c>
      <c r="D9" s="22" t="s">
        <v>69</v>
      </c>
      <c r="E9" s="22">
        <v>26</v>
      </c>
      <c r="F9" s="22">
        <v>61000</v>
      </c>
      <c r="G9" s="23">
        <v>44165</v>
      </c>
      <c r="H9" s="24" t="s">
        <v>45</v>
      </c>
    </row>
    <row r="10" spans="1:16" x14ac:dyDescent="0.3">
      <c r="A10" s="32">
        <v>108</v>
      </c>
      <c r="B10" s="22" t="s">
        <v>70</v>
      </c>
      <c r="C10" s="32" t="s">
        <v>64</v>
      </c>
      <c r="D10" s="32" t="s">
        <v>71</v>
      </c>
      <c r="E10" s="32">
        <v>27</v>
      </c>
      <c r="F10" s="32">
        <v>67000</v>
      </c>
      <c r="G10" s="33">
        <v>44809</v>
      </c>
      <c r="H10" s="36" t="s">
        <v>47</v>
      </c>
      <c r="I10" s="35"/>
      <c r="J10" s="35"/>
    </row>
    <row r="11" spans="1:16" x14ac:dyDescent="0.3">
      <c r="A11" s="32">
        <v>109</v>
      </c>
      <c r="B11" s="22" t="s">
        <v>72</v>
      </c>
      <c r="C11" s="32" t="s">
        <v>61</v>
      </c>
      <c r="D11" s="32" t="s">
        <v>62</v>
      </c>
      <c r="E11" s="32">
        <v>28</v>
      </c>
      <c r="F11" s="32">
        <v>80000</v>
      </c>
      <c r="G11" s="33">
        <v>43811</v>
      </c>
      <c r="H11" s="34" t="s">
        <v>44</v>
      </c>
      <c r="I11" s="35"/>
      <c r="J11" s="35"/>
    </row>
    <row r="12" spans="1:16" x14ac:dyDescent="0.3">
      <c r="A12" s="22">
        <v>110</v>
      </c>
      <c r="B12" s="22" t="s">
        <v>73</v>
      </c>
      <c r="C12" s="22" t="s">
        <v>55</v>
      </c>
      <c r="D12" s="22" t="s">
        <v>59</v>
      </c>
      <c r="E12" s="22">
        <v>29</v>
      </c>
      <c r="F12" s="22">
        <v>52000</v>
      </c>
      <c r="G12" s="23">
        <v>45017</v>
      </c>
      <c r="H12" s="24" t="s">
        <v>45</v>
      </c>
    </row>
    <row r="36" spans="1:13" x14ac:dyDescent="0.3">
      <c r="A36" s="20" t="s">
        <v>49</v>
      </c>
      <c r="B36" s="20" t="s">
        <v>50</v>
      </c>
      <c r="C36" s="20" t="s">
        <v>51</v>
      </c>
      <c r="D36" s="20" t="s">
        <v>52</v>
      </c>
      <c r="E36" s="20" t="s">
        <v>0</v>
      </c>
      <c r="F36" s="20" t="s">
        <v>24</v>
      </c>
      <c r="G36" s="20" t="s">
        <v>53</v>
      </c>
      <c r="H36" s="20" t="s">
        <v>48</v>
      </c>
      <c r="J36" s="3" t="s">
        <v>104</v>
      </c>
      <c r="L36" s="21" t="s">
        <v>94</v>
      </c>
      <c r="M36" s="21" t="s">
        <v>92</v>
      </c>
    </row>
    <row r="37" spans="1:13" x14ac:dyDescent="0.3">
      <c r="A37" s="32">
        <v>101</v>
      </c>
      <c r="B37" s="32" t="s">
        <v>54</v>
      </c>
      <c r="C37" s="32" t="s">
        <v>55</v>
      </c>
      <c r="D37" s="32" t="s">
        <v>56</v>
      </c>
      <c r="E37" s="32">
        <v>20</v>
      </c>
      <c r="F37" s="32">
        <v>50000</v>
      </c>
      <c r="G37" s="33">
        <v>44573</v>
      </c>
      <c r="H37" s="37" t="s">
        <v>47</v>
      </c>
      <c r="I37" s="35"/>
      <c r="J37" s="35" t="b">
        <f>F37&lt;60000</f>
        <v>1</v>
      </c>
      <c r="L37" s="25" t="s">
        <v>103</v>
      </c>
      <c r="M37" s="25" t="s">
        <v>93</v>
      </c>
    </row>
    <row r="38" spans="1:13" x14ac:dyDescent="0.3">
      <c r="A38" s="32">
        <v>102</v>
      </c>
      <c r="B38" s="32" t="s">
        <v>57</v>
      </c>
      <c r="C38" s="32" t="s">
        <v>58</v>
      </c>
      <c r="D38" s="32" t="s">
        <v>59</v>
      </c>
      <c r="E38" s="32">
        <v>21</v>
      </c>
      <c r="F38" s="32">
        <v>60000</v>
      </c>
      <c r="G38" s="33">
        <v>44270</v>
      </c>
      <c r="H38" s="37" t="s">
        <v>45</v>
      </c>
      <c r="J38" s="3" t="b">
        <f t="shared" ref="J38:J46" si="0">F38&lt;60000</f>
        <v>0</v>
      </c>
    </row>
    <row r="39" spans="1:13" x14ac:dyDescent="0.3">
      <c r="A39" s="32">
        <v>103</v>
      </c>
      <c r="B39" s="32" t="s">
        <v>60</v>
      </c>
      <c r="C39" s="32" t="s">
        <v>61</v>
      </c>
      <c r="D39" s="32" t="s">
        <v>62</v>
      </c>
      <c r="E39" s="32">
        <v>22</v>
      </c>
      <c r="F39" s="32">
        <v>75000</v>
      </c>
      <c r="G39" s="33">
        <v>44032</v>
      </c>
      <c r="H39" s="37" t="s">
        <v>44</v>
      </c>
      <c r="J39" s="3" t="b">
        <f t="shared" si="0"/>
        <v>0</v>
      </c>
    </row>
    <row r="40" spans="1:13" x14ac:dyDescent="0.3">
      <c r="A40" s="32">
        <v>104</v>
      </c>
      <c r="B40" s="32" t="s">
        <v>63</v>
      </c>
      <c r="C40" s="32" t="s">
        <v>64</v>
      </c>
      <c r="D40" s="32" t="s">
        <v>65</v>
      </c>
      <c r="E40" s="32">
        <v>23</v>
      </c>
      <c r="F40" s="32">
        <v>65000</v>
      </c>
      <c r="G40" s="33">
        <v>44967</v>
      </c>
      <c r="H40" s="37" t="s">
        <v>45</v>
      </c>
      <c r="J40" s="3" t="b">
        <f t="shared" si="0"/>
        <v>0</v>
      </c>
    </row>
    <row r="41" spans="1:13" x14ac:dyDescent="0.3">
      <c r="A41" s="32">
        <v>105</v>
      </c>
      <c r="B41" s="32" t="s">
        <v>66</v>
      </c>
      <c r="C41" s="32" t="s">
        <v>61</v>
      </c>
      <c r="D41" s="32" t="s">
        <v>56</v>
      </c>
      <c r="E41" s="32">
        <v>24</v>
      </c>
      <c r="F41" s="32">
        <v>72000</v>
      </c>
      <c r="G41" s="33">
        <v>44699</v>
      </c>
      <c r="H41" s="37" t="s">
        <v>47</v>
      </c>
      <c r="J41" s="3" t="b">
        <f t="shared" si="0"/>
        <v>0</v>
      </c>
    </row>
    <row r="42" spans="1:13" x14ac:dyDescent="0.3">
      <c r="A42" s="32">
        <v>106</v>
      </c>
      <c r="B42" s="32" t="s">
        <v>43</v>
      </c>
      <c r="C42" s="32" t="s">
        <v>55</v>
      </c>
      <c r="D42" s="32" t="s">
        <v>67</v>
      </c>
      <c r="E42" s="32">
        <v>25</v>
      </c>
      <c r="F42" s="32">
        <v>48000</v>
      </c>
      <c r="G42" s="33">
        <v>44433</v>
      </c>
      <c r="H42" s="37" t="s">
        <v>44</v>
      </c>
      <c r="I42" s="35"/>
      <c r="J42" s="35" t="b">
        <f t="shared" si="0"/>
        <v>1</v>
      </c>
    </row>
    <row r="43" spans="1:13" x14ac:dyDescent="0.3">
      <c r="A43" s="32">
        <v>107</v>
      </c>
      <c r="B43" s="32" t="s">
        <v>68</v>
      </c>
      <c r="C43" s="32" t="s">
        <v>58</v>
      </c>
      <c r="D43" s="32" t="s">
        <v>69</v>
      </c>
      <c r="E43" s="32">
        <v>26</v>
      </c>
      <c r="F43" s="32">
        <v>61000</v>
      </c>
      <c r="G43" s="33">
        <v>44165</v>
      </c>
      <c r="H43" s="37" t="s">
        <v>45</v>
      </c>
      <c r="J43" s="3" t="b">
        <f t="shared" si="0"/>
        <v>0</v>
      </c>
    </row>
    <row r="44" spans="1:13" x14ac:dyDescent="0.3">
      <c r="A44" s="32">
        <v>108</v>
      </c>
      <c r="B44" s="32" t="s">
        <v>70</v>
      </c>
      <c r="C44" s="32" t="s">
        <v>64</v>
      </c>
      <c r="D44" s="32" t="s">
        <v>71</v>
      </c>
      <c r="E44" s="32">
        <v>27</v>
      </c>
      <c r="F44" s="32">
        <v>67000</v>
      </c>
      <c r="G44" s="33">
        <v>44809</v>
      </c>
      <c r="H44" s="37" t="s">
        <v>47</v>
      </c>
      <c r="J44" s="3" t="b">
        <f t="shared" si="0"/>
        <v>0</v>
      </c>
    </row>
    <row r="45" spans="1:13" x14ac:dyDescent="0.3">
      <c r="A45" s="32">
        <v>109</v>
      </c>
      <c r="B45" s="32" t="s">
        <v>72</v>
      </c>
      <c r="C45" s="32" t="s">
        <v>61</v>
      </c>
      <c r="D45" s="32" t="s">
        <v>62</v>
      </c>
      <c r="E45" s="32">
        <v>28</v>
      </c>
      <c r="F45" s="32">
        <v>80000</v>
      </c>
      <c r="G45" s="33">
        <v>43811</v>
      </c>
      <c r="H45" s="37" t="s">
        <v>44</v>
      </c>
      <c r="J45" s="3" t="b">
        <f t="shared" si="0"/>
        <v>0</v>
      </c>
    </row>
    <row r="46" spans="1:13" x14ac:dyDescent="0.3">
      <c r="A46" s="32">
        <v>110</v>
      </c>
      <c r="B46" s="32" t="s">
        <v>73</v>
      </c>
      <c r="C46" s="32" t="s">
        <v>55</v>
      </c>
      <c r="D46" s="32" t="s">
        <v>59</v>
      </c>
      <c r="E46" s="32">
        <v>29</v>
      </c>
      <c r="F46" s="32">
        <v>52000</v>
      </c>
      <c r="G46" s="33">
        <v>45017</v>
      </c>
      <c r="H46" s="37" t="s">
        <v>45</v>
      </c>
      <c r="I46" s="35"/>
      <c r="J46" s="35" t="b">
        <f t="shared" si="0"/>
        <v>1</v>
      </c>
    </row>
    <row r="66" spans="1:15" x14ac:dyDescent="0.3">
      <c r="A66" s="20" t="s">
        <v>49</v>
      </c>
      <c r="B66" s="20" t="s">
        <v>50</v>
      </c>
      <c r="C66" s="20" t="s">
        <v>51</v>
      </c>
      <c r="D66" s="20" t="s">
        <v>52</v>
      </c>
      <c r="E66" s="20" t="s">
        <v>0</v>
      </c>
      <c r="F66" s="20" t="s">
        <v>24</v>
      </c>
      <c r="G66" s="20" t="s">
        <v>53</v>
      </c>
      <c r="H66" s="20" t="s">
        <v>48</v>
      </c>
      <c r="O66" s="20" t="s">
        <v>48</v>
      </c>
    </row>
    <row r="67" spans="1:15" x14ac:dyDescent="0.3">
      <c r="A67" s="22">
        <v>105</v>
      </c>
      <c r="B67" s="22" t="s">
        <v>66</v>
      </c>
      <c r="C67" s="22" t="s">
        <v>61</v>
      </c>
      <c r="D67" s="4" t="s">
        <v>56</v>
      </c>
      <c r="E67" s="22">
        <v>24</v>
      </c>
      <c r="F67" s="22">
        <v>72000</v>
      </c>
      <c r="G67" s="28">
        <v>44699</v>
      </c>
      <c r="H67" s="27" t="s">
        <v>47</v>
      </c>
      <c r="L67" s="3" t="b">
        <f>H67="HOLD"</f>
        <v>0</v>
      </c>
      <c r="O67" s="3" t="s">
        <v>44</v>
      </c>
    </row>
    <row r="68" spans="1:15" x14ac:dyDescent="0.3">
      <c r="A68" s="22">
        <v>108</v>
      </c>
      <c r="B68" s="22" t="s">
        <v>70</v>
      </c>
      <c r="C68" s="22" t="s">
        <v>64</v>
      </c>
      <c r="D68" s="4" t="s">
        <v>71</v>
      </c>
      <c r="E68" s="22">
        <v>27</v>
      </c>
      <c r="F68" s="22">
        <v>67000</v>
      </c>
      <c r="G68" s="28">
        <v>44809</v>
      </c>
      <c r="H68" s="27" t="s">
        <v>47</v>
      </c>
      <c r="L68" s="3" t="b">
        <f>H67="Pending"</f>
        <v>0</v>
      </c>
      <c r="O68" s="3" t="s">
        <v>45</v>
      </c>
    </row>
    <row r="69" spans="1:15" x14ac:dyDescent="0.3">
      <c r="A69" s="22">
        <v>101</v>
      </c>
      <c r="B69" s="22" t="s">
        <v>54</v>
      </c>
      <c r="C69" s="22" t="s">
        <v>55</v>
      </c>
      <c r="D69" s="4" t="s">
        <v>56</v>
      </c>
      <c r="E69" s="22">
        <v>20</v>
      </c>
      <c r="F69" s="22">
        <v>50000</v>
      </c>
      <c r="G69" s="28">
        <v>44573</v>
      </c>
      <c r="H69" s="24" t="s">
        <v>47</v>
      </c>
      <c r="L69" s="3" t="b">
        <f>H67="Confirmed"</f>
        <v>1</v>
      </c>
      <c r="O69" s="3" t="s">
        <v>47</v>
      </c>
    </row>
    <row r="70" spans="1:15" x14ac:dyDescent="0.3">
      <c r="A70" s="22">
        <v>103</v>
      </c>
      <c r="B70" s="22" t="s">
        <v>60</v>
      </c>
      <c r="C70" s="22" t="s">
        <v>61</v>
      </c>
      <c r="D70" s="4" t="s">
        <v>62</v>
      </c>
      <c r="E70" s="22">
        <v>22</v>
      </c>
      <c r="F70" s="22">
        <v>75000</v>
      </c>
      <c r="G70" s="28">
        <v>44032</v>
      </c>
      <c r="H70" s="26" t="s">
        <v>44</v>
      </c>
    </row>
    <row r="71" spans="1:15" x14ac:dyDescent="0.3">
      <c r="A71" s="22">
        <v>106</v>
      </c>
      <c r="B71" s="22" t="s">
        <v>43</v>
      </c>
      <c r="C71" s="22" t="s">
        <v>55</v>
      </c>
      <c r="D71" s="4" t="s">
        <v>67</v>
      </c>
      <c r="E71" s="22">
        <v>25</v>
      </c>
      <c r="F71" s="22">
        <v>48000</v>
      </c>
      <c r="G71" s="28">
        <v>44433</v>
      </c>
      <c r="H71" s="26" t="s">
        <v>44</v>
      </c>
    </row>
    <row r="72" spans="1:15" x14ac:dyDescent="0.3">
      <c r="A72" s="22">
        <v>109</v>
      </c>
      <c r="B72" s="22" t="s">
        <v>72</v>
      </c>
      <c r="C72" s="22" t="s">
        <v>61</v>
      </c>
      <c r="D72" s="4" t="s">
        <v>62</v>
      </c>
      <c r="E72" s="22">
        <v>28</v>
      </c>
      <c r="F72" s="22">
        <v>80000</v>
      </c>
      <c r="G72" s="28">
        <v>43811</v>
      </c>
      <c r="H72" s="26" t="s">
        <v>44</v>
      </c>
    </row>
    <row r="73" spans="1:15" x14ac:dyDescent="0.3">
      <c r="A73" s="22">
        <v>102</v>
      </c>
      <c r="B73" s="22" t="s">
        <v>57</v>
      </c>
      <c r="C73" s="22" t="s">
        <v>58</v>
      </c>
      <c r="D73" s="4" t="s">
        <v>59</v>
      </c>
      <c r="E73" s="22">
        <v>21</v>
      </c>
      <c r="F73" s="22">
        <v>60000</v>
      </c>
      <c r="G73" s="28">
        <v>44270</v>
      </c>
      <c r="H73" s="24" t="s">
        <v>44</v>
      </c>
    </row>
    <row r="74" spans="1:15" x14ac:dyDescent="0.3">
      <c r="A74" s="22">
        <v>104</v>
      </c>
      <c r="B74" s="22" t="s">
        <v>63</v>
      </c>
      <c r="C74" s="22" t="s">
        <v>64</v>
      </c>
      <c r="D74" s="4" t="s">
        <v>65</v>
      </c>
      <c r="E74" s="22">
        <v>23</v>
      </c>
      <c r="F74" s="22">
        <v>65000</v>
      </c>
      <c r="G74" s="28">
        <v>44967</v>
      </c>
      <c r="H74" s="24" t="s">
        <v>45</v>
      </c>
    </row>
    <row r="75" spans="1:15" x14ac:dyDescent="0.3">
      <c r="A75" s="22">
        <v>107</v>
      </c>
      <c r="B75" s="22" t="s">
        <v>68</v>
      </c>
      <c r="C75" s="22" t="s">
        <v>58</v>
      </c>
      <c r="D75" s="4" t="s">
        <v>69</v>
      </c>
      <c r="E75" s="22">
        <v>26</v>
      </c>
      <c r="F75" s="22">
        <v>61000</v>
      </c>
      <c r="G75" s="28">
        <v>44165</v>
      </c>
      <c r="H75" s="24" t="s">
        <v>45</v>
      </c>
    </row>
    <row r="76" spans="1:15" x14ac:dyDescent="0.3">
      <c r="A76" s="22">
        <v>110</v>
      </c>
      <c r="B76" s="22" t="s">
        <v>73</v>
      </c>
      <c r="C76" s="22" t="s">
        <v>55</v>
      </c>
      <c r="D76" s="4" t="s">
        <v>59</v>
      </c>
      <c r="E76" s="22">
        <v>29</v>
      </c>
      <c r="F76" s="22">
        <v>52000</v>
      </c>
      <c r="G76" s="28">
        <v>45017</v>
      </c>
      <c r="H76" s="24" t="s">
        <v>45</v>
      </c>
    </row>
    <row r="80" spans="1:15" x14ac:dyDescent="0.3">
      <c r="J80" s="3" t="s">
        <v>105</v>
      </c>
    </row>
    <row r="81" spans="1:17" x14ac:dyDescent="0.3">
      <c r="J81" s="3" t="s">
        <v>106</v>
      </c>
    </row>
    <row r="82" spans="1:17" x14ac:dyDescent="0.3">
      <c r="A82" s="20" t="s">
        <v>49</v>
      </c>
      <c r="B82" s="20" t="s">
        <v>50</v>
      </c>
      <c r="C82" s="20" t="s">
        <v>51</v>
      </c>
      <c r="D82" s="20" t="s">
        <v>52</v>
      </c>
      <c r="E82" s="20" t="s">
        <v>0</v>
      </c>
      <c r="F82" s="20" t="s">
        <v>24</v>
      </c>
      <c r="G82" s="20" t="s">
        <v>53</v>
      </c>
      <c r="H82" s="20" t="s">
        <v>48</v>
      </c>
      <c r="J82" s="3" t="s">
        <v>107</v>
      </c>
      <c r="K82" s="3" t="s">
        <v>108</v>
      </c>
      <c r="M82" s="3" t="s">
        <v>109</v>
      </c>
      <c r="P82" s="20" t="s">
        <v>94</v>
      </c>
      <c r="Q82" s="20" t="s">
        <v>95</v>
      </c>
    </row>
    <row r="83" spans="1:17" x14ac:dyDescent="0.3">
      <c r="A83" s="22">
        <v>101</v>
      </c>
      <c r="B83" s="22" t="s">
        <v>54</v>
      </c>
      <c r="C83" s="22" t="s">
        <v>55</v>
      </c>
      <c r="D83" s="4" t="s">
        <v>56</v>
      </c>
      <c r="E83" s="22">
        <v>20</v>
      </c>
      <c r="F83" s="30">
        <v>60000</v>
      </c>
      <c r="G83" s="28">
        <v>44573</v>
      </c>
      <c r="H83" s="24" t="s">
        <v>44</v>
      </c>
      <c r="J83" s="3" t="b">
        <f>F83&gt;59000</f>
        <v>1</v>
      </c>
      <c r="K83" s="3" t="b">
        <f>E83&lt;24</f>
        <v>1</v>
      </c>
      <c r="L83" s="3" t="b">
        <f>AND($F83&gt;59000,$E83&lt;24)</f>
        <v>1</v>
      </c>
      <c r="P83" s="29" t="s">
        <v>110</v>
      </c>
      <c r="Q83" s="29" t="s">
        <v>96</v>
      </c>
    </row>
    <row r="84" spans="1:17" x14ac:dyDescent="0.3">
      <c r="A84" s="22">
        <v>102</v>
      </c>
      <c r="B84" s="22" t="s">
        <v>57</v>
      </c>
      <c r="C84" s="22" t="s">
        <v>58</v>
      </c>
      <c r="D84" s="4" t="s">
        <v>59</v>
      </c>
      <c r="E84" s="22">
        <v>21</v>
      </c>
      <c r="F84" s="30">
        <v>60000</v>
      </c>
      <c r="G84" s="28">
        <v>44270</v>
      </c>
      <c r="H84" s="24" t="s">
        <v>45</v>
      </c>
      <c r="J84" s="3" t="b">
        <f t="shared" ref="J84:J92" si="1">F84&gt;59000</f>
        <v>1</v>
      </c>
      <c r="K84" s="3" t="b">
        <f t="shared" ref="K84:K92" si="2">E84&lt;24</f>
        <v>1</v>
      </c>
      <c r="L84" s="3" t="b">
        <f t="shared" ref="L84:L92" si="3">AND(F84&gt;59000,E84&lt;24)</f>
        <v>1</v>
      </c>
    </row>
    <row r="85" spans="1:17" x14ac:dyDescent="0.3">
      <c r="A85" s="22">
        <v>103</v>
      </c>
      <c r="B85" s="22" t="s">
        <v>60</v>
      </c>
      <c r="C85" s="22" t="s">
        <v>61</v>
      </c>
      <c r="D85" s="4" t="s">
        <v>62</v>
      </c>
      <c r="E85" s="22">
        <v>22</v>
      </c>
      <c r="F85" s="30">
        <v>75000</v>
      </c>
      <c r="G85" s="28">
        <v>44032</v>
      </c>
      <c r="H85" s="26" t="s">
        <v>44</v>
      </c>
      <c r="J85" s="3" t="b">
        <f t="shared" si="1"/>
        <v>1</v>
      </c>
      <c r="K85" s="3" t="b">
        <f t="shared" si="2"/>
        <v>1</v>
      </c>
      <c r="L85" s="3" t="b">
        <f t="shared" si="3"/>
        <v>1</v>
      </c>
      <c r="P85" s="3" t="b">
        <f>AND(F83&lt;59000,E83&lt;24)</f>
        <v>0</v>
      </c>
    </row>
    <row r="86" spans="1:17" x14ac:dyDescent="0.3">
      <c r="A86" s="22">
        <v>104</v>
      </c>
      <c r="B86" s="22" t="s">
        <v>63</v>
      </c>
      <c r="C86" s="22" t="s">
        <v>64</v>
      </c>
      <c r="D86" s="4" t="s">
        <v>65</v>
      </c>
      <c r="E86" s="22">
        <v>23</v>
      </c>
      <c r="F86" s="30">
        <v>65000</v>
      </c>
      <c r="G86" s="28">
        <v>44967</v>
      </c>
      <c r="H86" s="24" t="s">
        <v>45</v>
      </c>
      <c r="J86" s="3" t="b">
        <f t="shared" si="1"/>
        <v>1</v>
      </c>
      <c r="K86" s="3" t="b">
        <f t="shared" si="2"/>
        <v>1</v>
      </c>
      <c r="L86" s="3" t="b">
        <f t="shared" si="3"/>
        <v>1</v>
      </c>
    </row>
    <row r="87" spans="1:17" x14ac:dyDescent="0.3">
      <c r="A87" s="22">
        <v>105</v>
      </c>
      <c r="B87" s="22" t="s">
        <v>66</v>
      </c>
      <c r="C87" s="22" t="s">
        <v>61</v>
      </c>
      <c r="D87" s="4" t="s">
        <v>56</v>
      </c>
      <c r="E87" s="22">
        <v>24</v>
      </c>
      <c r="F87" s="30">
        <v>72000</v>
      </c>
      <c r="G87" s="28">
        <v>44699</v>
      </c>
      <c r="H87" s="27" t="s">
        <v>47</v>
      </c>
      <c r="J87" s="3" t="b">
        <f t="shared" si="1"/>
        <v>1</v>
      </c>
      <c r="K87" s="3" t="b">
        <f t="shared" si="2"/>
        <v>0</v>
      </c>
      <c r="L87" s="3" t="b">
        <f t="shared" si="3"/>
        <v>0</v>
      </c>
    </row>
    <row r="88" spans="1:17" x14ac:dyDescent="0.3">
      <c r="A88" s="22">
        <v>106</v>
      </c>
      <c r="B88" s="22" t="s">
        <v>43</v>
      </c>
      <c r="C88" s="22" t="s">
        <v>55</v>
      </c>
      <c r="D88" s="4" t="s">
        <v>67</v>
      </c>
      <c r="E88" s="22">
        <v>25</v>
      </c>
      <c r="F88" s="30">
        <v>48000</v>
      </c>
      <c r="G88" s="28">
        <v>44433</v>
      </c>
      <c r="H88" s="26" t="s">
        <v>44</v>
      </c>
      <c r="J88" s="3" t="b">
        <f t="shared" si="1"/>
        <v>0</v>
      </c>
      <c r="K88" s="3" t="b">
        <f t="shared" si="2"/>
        <v>0</v>
      </c>
      <c r="L88" s="3" t="b">
        <f t="shared" si="3"/>
        <v>0</v>
      </c>
    </row>
    <row r="89" spans="1:17" x14ac:dyDescent="0.3">
      <c r="A89" s="22">
        <v>107</v>
      </c>
      <c r="B89" s="22" t="s">
        <v>68</v>
      </c>
      <c r="C89" s="22" t="s">
        <v>58</v>
      </c>
      <c r="D89" s="4" t="s">
        <v>69</v>
      </c>
      <c r="E89" s="22">
        <v>26</v>
      </c>
      <c r="F89" s="30">
        <v>61000</v>
      </c>
      <c r="G89" s="28">
        <v>44165</v>
      </c>
      <c r="H89" s="24" t="s">
        <v>45</v>
      </c>
      <c r="J89" s="3" t="b">
        <f t="shared" si="1"/>
        <v>1</v>
      </c>
      <c r="K89" s="3" t="b">
        <f t="shared" si="2"/>
        <v>0</v>
      </c>
      <c r="L89" s="3" t="b">
        <f t="shared" si="3"/>
        <v>0</v>
      </c>
    </row>
    <row r="90" spans="1:17" x14ac:dyDescent="0.3">
      <c r="A90" s="22">
        <v>108</v>
      </c>
      <c r="B90" s="22" t="s">
        <v>70</v>
      </c>
      <c r="C90" s="22" t="s">
        <v>64</v>
      </c>
      <c r="D90" s="4" t="s">
        <v>71</v>
      </c>
      <c r="E90" s="22">
        <v>23</v>
      </c>
      <c r="F90" s="30">
        <v>61000</v>
      </c>
      <c r="G90" s="28">
        <v>44809</v>
      </c>
      <c r="H90" s="27" t="s">
        <v>47</v>
      </c>
      <c r="J90" s="3" t="b">
        <f t="shared" si="1"/>
        <v>1</v>
      </c>
      <c r="K90" s="3" t="b">
        <f t="shared" si="2"/>
        <v>1</v>
      </c>
      <c r="L90" s="3" t="b">
        <f t="shared" si="3"/>
        <v>1</v>
      </c>
    </row>
    <row r="91" spans="1:17" x14ac:dyDescent="0.3">
      <c r="A91" s="22">
        <v>109</v>
      </c>
      <c r="B91" s="22" t="s">
        <v>72</v>
      </c>
      <c r="C91" s="22" t="s">
        <v>61</v>
      </c>
      <c r="D91" s="4" t="s">
        <v>62</v>
      </c>
      <c r="E91" s="22">
        <v>28</v>
      </c>
      <c r="F91" s="30">
        <v>80000</v>
      </c>
      <c r="G91" s="28">
        <v>43811</v>
      </c>
      <c r="H91" s="26" t="s">
        <v>44</v>
      </c>
      <c r="J91" s="3" t="b">
        <f t="shared" si="1"/>
        <v>1</v>
      </c>
      <c r="K91" s="3" t="b">
        <f t="shared" si="2"/>
        <v>0</v>
      </c>
      <c r="L91" s="3" t="b">
        <f t="shared" si="3"/>
        <v>0</v>
      </c>
    </row>
    <row r="92" spans="1:17" x14ac:dyDescent="0.3">
      <c r="A92" s="22">
        <v>110</v>
      </c>
      <c r="B92" s="22" t="s">
        <v>73</v>
      </c>
      <c r="C92" s="22" t="s">
        <v>55</v>
      </c>
      <c r="D92" s="4" t="s">
        <v>59</v>
      </c>
      <c r="E92" s="22">
        <v>29</v>
      </c>
      <c r="F92" s="30">
        <v>52000</v>
      </c>
      <c r="G92" s="28">
        <v>45017</v>
      </c>
      <c r="H92" s="24" t="s">
        <v>45</v>
      </c>
      <c r="J92" s="3" t="b">
        <f t="shared" si="1"/>
        <v>0</v>
      </c>
      <c r="K92" s="3" t="b">
        <f t="shared" si="2"/>
        <v>0</v>
      </c>
      <c r="L92" s="3" t="b">
        <f t="shared" si="3"/>
        <v>0</v>
      </c>
    </row>
  </sheetData>
  <autoFilter ref="A36:J46"/>
  <sortState ref="A67:H76">
    <sortCondition ref="H67:H76"/>
  </sortState>
  <mergeCells count="2">
    <mergeCell ref="L1:M1"/>
    <mergeCell ref="O1:P1"/>
  </mergeCells>
  <conditionalFormatting sqref="B3">
    <cfRule type="expression" dxfId="28" priority="13">
      <formula>$F3&gt;66000</formula>
    </cfRule>
  </conditionalFormatting>
  <conditionalFormatting sqref="B4:B12">
    <cfRule type="expression" dxfId="27" priority="12">
      <formula>$F4&gt;66000</formula>
    </cfRule>
  </conditionalFormatting>
  <conditionalFormatting sqref="A37:H37">
    <cfRule type="expression" dxfId="26" priority="10">
      <formula>$F37&lt;60000</formula>
    </cfRule>
  </conditionalFormatting>
  <conditionalFormatting sqref="A38:H46">
    <cfRule type="expression" dxfId="25" priority="9">
      <formula>$F38&lt;60000</formula>
    </cfRule>
  </conditionalFormatting>
  <conditionalFormatting sqref="B83">
    <cfRule type="expression" dxfId="24" priority="8">
      <formula>AND($F83&gt;59000,$E83&lt;24)</formula>
    </cfRule>
  </conditionalFormatting>
  <conditionalFormatting sqref="B84:B92">
    <cfRule type="expression" dxfId="23" priority="7">
      <formula>AND($F84&gt;59000,$E84&lt;24)</formula>
    </cfRule>
  </conditionalFormatting>
  <conditionalFormatting sqref="B67">
    <cfRule type="expression" dxfId="6" priority="6">
      <formula>$H67="HOLD"</formula>
    </cfRule>
    <cfRule type="expression" dxfId="7" priority="5">
      <formula>$H67="Pending"</formula>
    </cfRule>
    <cfRule type="expression" dxfId="5" priority="4">
      <formula>$H67="Confirmed"</formula>
    </cfRule>
  </conditionalFormatting>
  <conditionalFormatting sqref="B68:B76">
    <cfRule type="expression" dxfId="0" priority="1">
      <formula>$H68="Confirmed"</formula>
    </cfRule>
    <cfRule type="expression" dxfId="1" priority="2">
      <formula>$H68="Pending"</formula>
    </cfRule>
    <cfRule type="expression" dxfId="2" priority="3">
      <formula>$H68="HOLD"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Conditional Formatting(Formula)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2026-06-30T06:10:40Z</dcterms:modified>
</cp:coreProperties>
</file>