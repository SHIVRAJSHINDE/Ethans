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2.Lookup\"/>
    </mc:Choice>
  </mc:AlternateContent>
  <bookViews>
    <workbookView xWindow="0" yWindow="0" windowWidth="23040" windowHeight="9072"/>
  </bookViews>
  <sheets>
    <sheet name="VloochpSameSheet" sheetId="14" r:id="rId1"/>
    <sheet name="VloochpDifferetSheet" sheetId="21" r:id="rId2"/>
    <sheet name="VloochpDifferetWorkBook" sheetId="22" r:id="rId3"/>
    <sheet name="Table_02" sheetId="13" r:id="rId4"/>
    <sheet name="HloockUp" sheetId="18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8" l="1"/>
  <c r="J8" i="18"/>
  <c r="I8" i="18"/>
  <c r="H8" i="18"/>
  <c r="G8" i="18"/>
  <c r="F8" i="18"/>
  <c r="E8" i="18"/>
  <c r="D8" i="18"/>
  <c r="C8" i="18"/>
  <c r="K7" i="18"/>
  <c r="J7" i="18"/>
  <c r="I7" i="18"/>
  <c r="H7" i="18"/>
  <c r="G7" i="18"/>
  <c r="F7" i="18"/>
  <c r="E7" i="18"/>
  <c r="D7" i="18"/>
  <c r="C7" i="18"/>
  <c r="I23" i="22" l="1"/>
  <c r="H23" i="22"/>
  <c r="G23" i="22"/>
  <c r="F23" i="22"/>
  <c r="I22" i="22"/>
  <c r="H22" i="22"/>
  <c r="G22" i="22"/>
  <c r="F22" i="22"/>
  <c r="I21" i="22"/>
  <c r="H21" i="22"/>
  <c r="G21" i="22"/>
  <c r="F21" i="22"/>
  <c r="I20" i="22"/>
  <c r="H20" i="22"/>
  <c r="G20" i="22"/>
  <c r="F20" i="22"/>
  <c r="I19" i="22"/>
  <c r="H19" i="22"/>
  <c r="G19" i="22"/>
  <c r="F19" i="22"/>
  <c r="I18" i="22"/>
  <c r="H18" i="22"/>
  <c r="G18" i="22"/>
  <c r="F18" i="22"/>
  <c r="I17" i="22"/>
  <c r="H17" i="22"/>
  <c r="G17" i="22"/>
  <c r="F17" i="22"/>
  <c r="I16" i="22"/>
  <c r="H16" i="22"/>
  <c r="G16" i="22"/>
  <c r="F16" i="22"/>
  <c r="I15" i="22"/>
  <c r="H15" i="22"/>
  <c r="G15" i="22"/>
  <c r="F15" i="22"/>
  <c r="I14" i="22"/>
  <c r="H14" i="22"/>
  <c r="G14" i="22"/>
  <c r="F14" i="22"/>
  <c r="I13" i="22"/>
  <c r="H13" i="22"/>
  <c r="G13" i="22"/>
  <c r="F13" i="22"/>
  <c r="I12" i="22"/>
  <c r="H12" i="22"/>
  <c r="G12" i="22"/>
  <c r="F12" i="22"/>
  <c r="I11" i="22"/>
  <c r="H11" i="22"/>
  <c r="G11" i="22"/>
  <c r="F11" i="22"/>
  <c r="I10" i="22"/>
  <c r="H10" i="22"/>
  <c r="G10" i="22"/>
  <c r="F10" i="22"/>
  <c r="I9" i="22"/>
  <c r="H9" i="22"/>
  <c r="G9" i="22"/>
  <c r="F9" i="22"/>
  <c r="I8" i="22"/>
  <c r="H8" i="22"/>
  <c r="G8" i="22"/>
  <c r="F8" i="22"/>
  <c r="I7" i="22"/>
  <c r="H7" i="22"/>
  <c r="G7" i="22"/>
  <c r="F7" i="22"/>
  <c r="I6" i="22"/>
  <c r="H6" i="22"/>
  <c r="G6" i="22"/>
  <c r="F6" i="22"/>
  <c r="I5" i="22"/>
  <c r="H5" i="22"/>
  <c r="G5" i="22"/>
  <c r="F5" i="22"/>
  <c r="I4" i="22"/>
  <c r="H4" i="22"/>
  <c r="G4" i="22"/>
  <c r="F4" i="22"/>
  <c r="I3" i="22"/>
  <c r="H3" i="22"/>
  <c r="G3" i="22"/>
  <c r="F3" i="22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H23" i="14" l="1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F3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P22" i="13" l="1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" i="13"/>
  <c r="L4" i="13"/>
  <c r="K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P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F23" i="13"/>
  <c r="E23" i="13"/>
</calcChain>
</file>

<file path=xl/sharedStrings.xml><?xml version="1.0" encoding="utf-8"?>
<sst xmlns="http://schemas.openxmlformats.org/spreadsheetml/2006/main" count="600" uniqueCount="97">
  <si>
    <t>Male</t>
  </si>
  <si>
    <t>Female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</si>
  <si>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</si>
  <si>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</si>
  <si>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</si>
  <si>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</si>
  <si>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</si>
  <si>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</si>
  <si>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</si>
  <si>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</si>
  <si>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</si>
  <si>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</si>
  <si>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</si>
  <si>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</si>
  <si>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</si>
  <si>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</si>
  <si>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</si>
  <si>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</si>
  <si>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</si>
  <si>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</si>
  <si>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</si>
  <si>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</si>
  <si>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</si>
  <si>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</si>
  <si>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</si>
  <si>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</si>
  <si>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</si>
  <si>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</si>
  <si>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</si>
  <si>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</si>
  <si>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</si>
  <si>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</si>
  <si>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</si>
  <si>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</si>
  <si>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</si>
  <si>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</si>
  <si>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</si>
  <si>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</si>
  <si>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</si>
  <si>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</si>
  <si>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</si>
  <si>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</si>
  <si>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</si>
  <si>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</si>
  <si>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</si>
  <si>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</si>
  <si>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</si>
  <si>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</si>
  <si>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</si>
  <si>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</si>
  <si>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</si>
  <si>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</si>
  <si>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</si>
  <si>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</si>
  <si>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</si>
  <si>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</si>
  <si>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</si>
  <si>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</si>
  <si>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</si>
  <si>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</si>
  <si>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</si>
  <si>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</si>
  <si>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</si>
  <si>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</si>
  <si>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</si>
  <si>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</si>
  <si>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</si>
  <si>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</si>
  <si>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</si>
  <si>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</si>
  <si>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</si>
  <si>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</si>
  <si>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</si>
  <si>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</si>
  <si>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</si>
  <si>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</si>
  <si>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</si>
  <si>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</si>
  <si>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Gender</t>
  </si>
  <si>
    <t>Department</t>
  </si>
  <si>
    <t>IF</t>
  </si>
  <si>
    <t>AND</t>
  </si>
  <si>
    <t>OR</t>
  </si>
  <si>
    <t>NOT</t>
  </si>
  <si>
    <t>IF Basic</t>
  </si>
  <si>
    <t>Nested IF</t>
  </si>
  <si>
    <t>LEFT</t>
  </si>
  <si>
    <t>RIGHT</t>
  </si>
  <si>
    <t>E021</t>
  </si>
  <si>
    <t>Omkar Bhat</t>
  </si>
  <si>
    <t>emailid</t>
  </si>
  <si>
    <t>Table_01</t>
  </si>
  <si>
    <t>Table_02</t>
  </si>
  <si>
    <t>=VLOOKUP
(loock_value,Table_Array,indexNumber,[True,False])</t>
  </si>
  <si>
    <t>Email Id</t>
  </si>
  <si>
    <t>Table_1</t>
  </si>
  <si>
    <t>Table_2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</si>
</sst>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u/>
      <sz val="11"/>
      <color theme="10"/>
      <name val="Candara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0" xfId="0" applyFont="1" applyAlignment="1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3" borderId="0" xfId="2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quotePrefix="1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Bad" xfId="2" builtinId="27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Data/Table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EmpID</v>
          </cell>
          <cell r="B2" t="str">
            <v>Name</v>
          </cell>
          <cell r="C2" t="str">
            <v>Dept</v>
          </cell>
          <cell r="D2" t="str">
            <v>Region</v>
          </cell>
          <cell r="E2" t="str">
            <v>Salary</v>
          </cell>
          <cell r="F2" t="str">
            <v>Bonus</v>
          </cell>
          <cell r="G2" t="str">
            <v>Rating</v>
          </cell>
          <cell r="H2" t="str">
            <v>JoinDate</v>
          </cell>
          <cell r="I2" t="str">
            <v>Email</v>
          </cell>
        </row>
        <row r="3">
          <cell r="A3" t="str">
            <v>E001</v>
          </cell>
          <cell r="B3" t="str">
            <v>John Smith</v>
          </cell>
          <cell r="C3" t="str">
            <v>Sales</v>
          </cell>
          <cell r="D3" t="str">
            <v>East</v>
          </cell>
          <cell r="E3">
            <v>52000</v>
          </cell>
          <cell r="F3">
            <v>5000</v>
          </cell>
          <cell r="G3">
            <v>10</v>
          </cell>
          <cell r="H3">
            <v>44270</v>
          </cell>
          <cell r="I3" t="str">
            <v>john.smith@email.com</v>
          </cell>
        </row>
        <row r="4">
          <cell r="A4" t="str">
            <v>E002</v>
          </cell>
          <cell r="B4" t="str">
            <v>Sara Khan</v>
          </cell>
          <cell r="C4" t="str">
            <v>HR</v>
          </cell>
          <cell r="D4" t="str">
            <v>West</v>
          </cell>
          <cell r="E4">
            <v>48000</v>
          </cell>
          <cell r="F4">
            <v>3000</v>
          </cell>
          <cell r="G4">
            <v>3</v>
          </cell>
          <cell r="H4">
            <v>44022</v>
          </cell>
          <cell r="I4" t="str">
            <v>sara.khan@email.com</v>
          </cell>
        </row>
        <row r="5">
          <cell r="A5" t="str">
            <v>E003</v>
          </cell>
          <cell r="B5" t="str">
            <v>Mike Johnson</v>
          </cell>
          <cell r="C5" t="str">
            <v>IT</v>
          </cell>
          <cell r="D5" t="str">
            <v>North</v>
          </cell>
          <cell r="E5">
            <v>65000</v>
          </cell>
          <cell r="F5">
            <v>7000</v>
          </cell>
          <cell r="G5">
            <v>5</v>
          </cell>
          <cell r="H5">
            <v>43791</v>
          </cell>
          <cell r="I5" t="str">
            <v>mike.j@email.com</v>
          </cell>
        </row>
        <row r="6">
          <cell r="A6" t="str">
            <v>E004</v>
          </cell>
          <cell r="B6" t="str">
            <v>Emily Davis</v>
          </cell>
          <cell r="C6" t="str">
            <v>Sales</v>
          </cell>
          <cell r="D6" t="str">
            <v>South</v>
          </cell>
          <cell r="E6">
            <v>54000</v>
          </cell>
          <cell r="F6">
            <v>4500</v>
          </cell>
          <cell r="G6">
            <v>4</v>
          </cell>
          <cell r="H6">
            <v>44566</v>
          </cell>
          <cell r="I6" t="str">
            <v>emily.d@email.com</v>
          </cell>
        </row>
        <row r="7">
          <cell r="A7" t="str">
            <v>E005</v>
          </cell>
          <cell r="B7" t="str">
            <v>Raj Patel</v>
          </cell>
          <cell r="C7" t="str">
            <v>IT</v>
          </cell>
          <cell r="D7" t="str">
            <v>East</v>
          </cell>
          <cell r="E7">
            <v>72000</v>
          </cell>
          <cell r="F7">
            <v>8000</v>
          </cell>
          <cell r="G7">
            <v>5</v>
          </cell>
          <cell r="H7">
            <v>43361</v>
          </cell>
          <cell r="I7" t="str">
            <v>raj.patel@email.com</v>
          </cell>
        </row>
        <row r="8">
          <cell r="A8" t="str">
            <v>E006</v>
          </cell>
          <cell r="B8" t="str">
            <v>Anna Lee</v>
          </cell>
          <cell r="C8" t="str">
            <v>HR</v>
          </cell>
          <cell r="D8" t="str">
            <v>North</v>
          </cell>
          <cell r="E8">
            <v>47000</v>
          </cell>
          <cell r="F8">
            <v>2500</v>
          </cell>
          <cell r="G8">
            <v>3</v>
          </cell>
          <cell r="H8">
            <v>44359</v>
          </cell>
          <cell r="I8" t="str">
            <v>anna.lee@email.com</v>
          </cell>
        </row>
        <row r="9">
          <cell r="A9" t="str">
            <v>E007</v>
          </cell>
          <cell r="B9" t="str">
            <v>Chris Brown</v>
          </cell>
          <cell r="C9" t="str">
            <v>Sales</v>
          </cell>
          <cell r="D9" t="str">
            <v>West</v>
          </cell>
          <cell r="E9">
            <v>51000</v>
          </cell>
          <cell r="F9">
            <v>4000</v>
          </cell>
          <cell r="G9">
            <v>4</v>
          </cell>
          <cell r="H9">
            <v>43886</v>
          </cell>
          <cell r="I9" t="str">
            <v>chris.b@email.com</v>
          </cell>
        </row>
        <row r="10">
          <cell r="A10" t="str">
            <v>E008</v>
          </cell>
          <cell r="B10" t="str">
            <v>David Wilson</v>
          </cell>
          <cell r="C10" t="str">
            <v>IT</v>
          </cell>
          <cell r="D10" t="str">
            <v>South</v>
          </cell>
          <cell r="E10">
            <v>68000</v>
          </cell>
          <cell r="F10">
            <v>6000</v>
          </cell>
          <cell r="G10">
            <v>5</v>
          </cell>
          <cell r="H10">
            <v>43707</v>
          </cell>
          <cell r="I10" t="str">
            <v>david.w@email.com</v>
          </cell>
        </row>
        <row r="11">
          <cell r="A11" t="str">
            <v>E009</v>
          </cell>
          <cell r="B11" t="str">
            <v>Lisa Taylor</v>
          </cell>
          <cell r="C11" t="str">
            <v>HR</v>
          </cell>
          <cell r="D11" t="str">
            <v>East</v>
          </cell>
          <cell r="E11">
            <v>46000</v>
          </cell>
          <cell r="F11">
            <v>2000</v>
          </cell>
          <cell r="G11">
            <v>2</v>
          </cell>
          <cell r="H11">
            <v>44668</v>
          </cell>
          <cell r="I11" t="str">
            <v>lisa.t@email.com</v>
          </cell>
        </row>
        <row r="12">
          <cell r="A12" t="str">
            <v>E010</v>
          </cell>
          <cell r="B12" t="str">
            <v>Tom Anderson</v>
          </cell>
          <cell r="C12" t="str">
            <v>Sales</v>
          </cell>
          <cell r="D12" t="str">
            <v>North</v>
          </cell>
          <cell r="E12">
            <v>53000</v>
          </cell>
          <cell r="F12">
            <v>4200</v>
          </cell>
          <cell r="G12">
            <v>4</v>
          </cell>
          <cell r="H12">
            <v>44531</v>
          </cell>
          <cell r="I12" t="str">
            <v>tom.a@email.com</v>
          </cell>
        </row>
        <row r="13">
          <cell r="A13" t="str">
            <v>E011</v>
          </cell>
          <cell r="B13" t="str">
            <v>Nina Gupta</v>
          </cell>
          <cell r="C13" t="str">
            <v>IT</v>
          </cell>
          <cell r="D13" t="str">
            <v>West</v>
          </cell>
          <cell r="E13">
            <v>70000</v>
          </cell>
          <cell r="F13">
            <v>7500</v>
          </cell>
          <cell r="G13">
            <v>5</v>
          </cell>
          <cell r="H13">
            <v>43241</v>
          </cell>
          <cell r="I13" t="str">
            <v>nina.g@email.com</v>
          </cell>
        </row>
        <row r="14">
          <cell r="A14" t="str">
            <v>E012</v>
          </cell>
          <cell r="B14" t="str">
            <v>Alex Martinez</v>
          </cell>
          <cell r="C14" t="str">
            <v>HR</v>
          </cell>
          <cell r="D14" t="str">
            <v>South</v>
          </cell>
          <cell r="E14">
            <v>49000</v>
          </cell>
          <cell r="F14">
            <v>2800</v>
          </cell>
          <cell r="G14">
            <v>3</v>
          </cell>
          <cell r="H14">
            <v>44115</v>
          </cell>
          <cell r="I14" t="str">
            <v>alex.m@email.com</v>
          </cell>
        </row>
        <row r="15">
          <cell r="A15" t="str">
            <v>E013</v>
          </cell>
          <cell r="B15" t="str">
            <v>Kevin White</v>
          </cell>
          <cell r="C15" t="str">
            <v>Sales</v>
          </cell>
          <cell r="D15" t="str">
            <v>East</v>
          </cell>
          <cell r="E15">
            <v>55000</v>
          </cell>
          <cell r="F15">
            <v>4700</v>
          </cell>
          <cell r="G15">
            <v>4</v>
          </cell>
          <cell r="H15">
            <v>43527</v>
          </cell>
          <cell r="I15" t="str">
            <v>kevin.w@email.com</v>
          </cell>
        </row>
        <row r="16">
          <cell r="A16" t="str">
            <v>E014</v>
          </cell>
          <cell r="B16" t="str">
            <v>Priya Sharma</v>
          </cell>
          <cell r="C16" t="str">
            <v>IT</v>
          </cell>
          <cell r="D16" t="str">
            <v>North</v>
          </cell>
          <cell r="E16">
            <v>73000</v>
          </cell>
          <cell r="F16">
            <v>8200</v>
          </cell>
          <cell r="G16">
            <v>5</v>
          </cell>
          <cell r="H16">
            <v>42930</v>
          </cell>
          <cell r="I16" t="str">
            <v>priya.s@email.com</v>
          </cell>
        </row>
        <row r="17">
          <cell r="A17" t="str">
            <v>E015</v>
          </cell>
          <cell r="B17" t="str">
            <v>Daniel Clark</v>
          </cell>
          <cell r="C17" t="str">
            <v>HR</v>
          </cell>
          <cell r="D17" t="str">
            <v>West</v>
          </cell>
          <cell r="E17">
            <v>45000</v>
          </cell>
          <cell r="F17">
            <v>2200</v>
          </cell>
          <cell r="G17">
            <v>2</v>
          </cell>
          <cell r="H17">
            <v>44448</v>
          </cell>
          <cell r="I17" t="str">
            <v>daniel.c@email.com</v>
          </cell>
        </row>
        <row r="18">
          <cell r="A18" t="str">
            <v>E016</v>
          </cell>
          <cell r="B18" t="str">
            <v>Sophia Lewis</v>
          </cell>
          <cell r="C18" t="str">
            <v>Sales</v>
          </cell>
          <cell r="D18" t="str">
            <v>South</v>
          </cell>
          <cell r="E18">
            <v>56000</v>
          </cell>
          <cell r="F18">
            <v>4800</v>
          </cell>
          <cell r="G18">
            <v>4</v>
          </cell>
          <cell r="H18">
            <v>43849</v>
          </cell>
          <cell r="I18" t="str">
            <v>sophia.l@email.com</v>
          </cell>
        </row>
        <row r="19">
          <cell r="A19" t="str">
            <v>E017</v>
          </cell>
          <cell r="B19" t="str">
            <v>James Walker</v>
          </cell>
          <cell r="C19" t="str">
            <v>IT</v>
          </cell>
          <cell r="D19" t="str">
            <v>East</v>
          </cell>
          <cell r="E19">
            <v>69000</v>
          </cell>
          <cell r="F19">
            <v>7100</v>
          </cell>
          <cell r="G19">
            <v>5</v>
          </cell>
          <cell r="H19">
            <v>43622</v>
          </cell>
          <cell r="I19" t="str">
            <v>james.w@email.com</v>
          </cell>
        </row>
        <row r="20">
          <cell r="A20" t="str">
            <v>E018</v>
          </cell>
          <cell r="B20" t="str">
            <v>Olivia Hall</v>
          </cell>
          <cell r="C20" t="str">
            <v>HR</v>
          </cell>
          <cell r="D20" t="str">
            <v>North</v>
          </cell>
          <cell r="E20">
            <v>47000</v>
          </cell>
          <cell r="F20">
            <v>2600</v>
          </cell>
          <cell r="G20">
            <v>3</v>
          </cell>
          <cell r="H20">
            <v>44620</v>
          </cell>
          <cell r="I20" t="str">
            <v>olivia.h@email.com</v>
          </cell>
        </row>
        <row r="21">
          <cell r="A21" t="str">
            <v>E019</v>
          </cell>
          <cell r="B21" t="str">
            <v>Ethan Allen</v>
          </cell>
          <cell r="C21" t="str">
            <v>Sales</v>
          </cell>
          <cell r="D21" t="str">
            <v>West</v>
          </cell>
          <cell r="E21">
            <v>52000</v>
          </cell>
          <cell r="F21">
            <v>3900</v>
          </cell>
          <cell r="G21">
            <v>4</v>
          </cell>
          <cell r="H21">
            <v>44329</v>
          </cell>
          <cell r="I21" t="str">
            <v>ethan.a@email.com</v>
          </cell>
        </row>
        <row r="22">
          <cell r="A22" t="str">
            <v>E020</v>
          </cell>
          <cell r="B22" t="str">
            <v>Chloe Young</v>
          </cell>
          <cell r="C22" t="str">
            <v>IT</v>
          </cell>
          <cell r="D22" t="str">
            <v>South</v>
          </cell>
          <cell r="E22">
            <v>71000</v>
          </cell>
          <cell r="F22">
            <v>7800</v>
          </cell>
          <cell r="G22">
            <v>5</v>
          </cell>
          <cell r="H22">
            <v>43458</v>
          </cell>
          <cell r="I22" t="str">
            <v>chloe.y@email.com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than.a@email.com" TargetMode="External"/><Relationship Id="rId3" Type="http://schemas.openxmlformats.org/officeDocument/2006/relationships/hyperlink" Target="mailto:chris.b@email.com" TargetMode="External"/><Relationship Id="rId7" Type="http://schemas.openxmlformats.org/officeDocument/2006/relationships/hyperlink" Target="mailto:olivia.h@email.com" TargetMode="External"/><Relationship Id="rId2" Type="http://schemas.openxmlformats.org/officeDocument/2006/relationships/hyperlink" Target="mailto:anna.lee@email.com" TargetMode="External"/><Relationship Id="rId1" Type="http://schemas.openxmlformats.org/officeDocument/2006/relationships/hyperlink" Target="mailto:sara.khan@email.com" TargetMode="External"/><Relationship Id="rId6" Type="http://schemas.openxmlformats.org/officeDocument/2006/relationships/hyperlink" Target="mailto:daniel.c@email.com" TargetMode="External"/><Relationship Id="rId5" Type="http://schemas.openxmlformats.org/officeDocument/2006/relationships/hyperlink" Target="mailto:alex.m@email.com" TargetMode="External"/><Relationship Id="rId4" Type="http://schemas.openxmlformats.org/officeDocument/2006/relationships/hyperlink" Target="mailto:lisa.t@email.com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6.77734375" style="12" bestFit="1" customWidth="1"/>
    <col min="2" max="2" width="13.5546875" style="12" bestFit="1" customWidth="1"/>
    <col min="3" max="3" width="7.21875" style="12" bestFit="1" customWidth="1"/>
    <col min="4" max="4" width="11.5546875" style="12" bestFit="1" customWidth="1"/>
    <col min="5" max="5" width="3.5546875" style="12" customWidth="1"/>
    <col min="6" max="6" width="6.77734375" style="11" bestFit="1" customWidth="1"/>
    <col min="7" max="7" width="6.5546875" style="12" bestFit="1" customWidth="1"/>
    <col min="8" max="8" width="6.6640625" style="12" bestFit="1" customWidth="1"/>
    <col min="9" max="9" width="8.88671875" style="12"/>
    <col min="10" max="10" width="6.77734375" style="12" bestFit="1" customWidth="1"/>
    <col min="11" max="11" width="7" style="12" bestFit="1" customWidth="1"/>
    <col min="12" max="12" width="13.5546875" style="12" bestFit="1" customWidth="1"/>
    <col min="13" max="13" width="5.33203125" style="12" bestFit="1" customWidth="1"/>
    <col min="14" max="14" width="6.5546875" style="12" bestFit="1" customWidth="1"/>
    <col min="15" max="15" width="6.44140625" style="12" bestFit="1" customWidth="1"/>
    <col min="16" max="16" width="6.6640625" style="12" bestFit="1" customWidth="1"/>
    <col min="17" max="17" width="10.33203125" style="12" bestFit="1" customWidth="1"/>
    <col min="18" max="18" width="21.109375" style="12" bestFit="1" customWidth="1"/>
    <col min="19" max="16384" width="8.88671875" style="12"/>
  </cols>
  <sheetData>
    <row r="1" spans="1:24" x14ac:dyDescent="0.3">
      <c r="A1" s="21" t="s">
        <v>91</v>
      </c>
      <c r="B1" s="21"/>
      <c r="C1" s="21"/>
      <c r="D1" s="21"/>
      <c r="E1" s="10"/>
      <c r="J1" s="21" t="s">
        <v>92</v>
      </c>
      <c r="K1" s="21"/>
      <c r="L1" s="21"/>
      <c r="M1" s="21"/>
      <c r="N1" s="21"/>
      <c r="O1" s="21"/>
      <c r="P1" s="21"/>
      <c r="Q1" s="21"/>
      <c r="R1" s="21"/>
    </row>
    <row r="2" spans="1:24" ht="14.4" customHeight="1" x14ac:dyDescent="0.3">
      <c r="A2" s="13" t="s">
        <v>2</v>
      </c>
      <c r="B2" s="13" t="s">
        <v>3</v>
      </c>
      <c r="C2" s="13" t="s">
        <v>78</v>
      </c>
      <c r="D2" s="13" t="s">
        <v>79</v>
      </c>
      <c r="E2" s="10"/>
      <c r="F2" s="10" t="s">
        <v>2</v>
      </c>
      <c r="G2" s="14" t="s">
        <v>6</v>
      </c>
      <c r="H2" s="14" t="s">
        <v>8</v>
      </c>
      <c r="J2" s="13" t="s">
        <v>2</v>
      </c>
      <c r="K2" s="13" t="s">
        <v>5</v>
      </c>
      <c r="L2" s="13" t="s">
        <v>3</v>
      </c>
      <c r="M2" s="13" t="s">
        <v>4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U2" s="22" t="s">
        <v>93</v>
      </c>
      <c r="V2" s="22"/>
      <c r="W2" s="22"/>
      <c r="X2" s="22"/>
    </row>
    <row r="3" spans="1:24" x14ac:dyDescent="0.3">
      <c r="A3" s="15" t="s">
        <v>11</v>
      </c>
      <c r="B3" s="16" t="s">
        <v>12</v>
      </c>
      <c r="C3" s="16" t="s">
        <v>0</v>
      </c>
      <c r="D3" s="16" t="s">
        <v>13</v>
      </c>
      <c r="E3" s="17"/>
      <c r="F3" s="17" t="str">
        <f>VLOOKUP($A3,$J$2:$R$22,1,FALSE)</f>
        <v>E001</v>
      </c>
      <c r="G3" s="17">
        <f>VLOOKUP($A3,$J$2:$R$22,5,FALSE)</f>
        <v>52000</v>
      </c>
      <c r="H3" s="17">
        <f>VLOOKUP($A3,$J$2:$R$22,7,FALSE)</f>
        <v>4</v>
      </c>
      <c r="J3" s="16" t="s">
        <v>42</v>
      </c>
      <c r="K3" s="16" t="s">
        <v>14</v>
      </c>
      <c r="L3" s="16" t="s">
        <v>43</v>
      </c>
      <c r="M3" s="16" t="s">
        <v>18</v>
      </c>
      <c r="N3" s="16">
        <v>46000</v>
      </c>
      <c r="O3" s="16">
        <v>2000</v>
      </c>
      <c r="P3" s="16">
        <v>2</v>
      </c>
      <c r="Q3" s="18">
        <v>44668</v>
      </c>
      <c r="R3" s="19" t="s">
        <v>44</v>
      </c>
      <c r="U3" s="22"/>
      <c r="V3" s="22"/>
      <c r="W3" s="22"/>
      <c r="X3" s="22"/>
    </row>
    <row r="4" spans="1:24" x14ac:dyDescent="0.3">
      <c r="A4" s="16" t="s">
        <v>16</v>
      </c>
      <c r="B4" s="16" t="s">
        <v>17</v>
      </c>
      <c r="C4" s="16" t="s">
        <v>1</v>
      </c>
      <c r="D4" s="16" t="s">
        <v>18</v>
      </c>
      <c r="E4" s="17"/>
      <c r="F4" s="17" t="str">
        <f t="shared" ref="F4:F23" si="0">VLOOKUP(A4,$J$2:$R$22,1,FALSE)</f>
        <v>E002</v>
      </c>
      <c r="G4" s="17">
        <f t="shared" ref="G4:G23" si="1">VLOOKUP($A4,$J$2:$R$22,5,FALSE)</f>
        <v>48000</v>
      </c>
      <c r="H4" s="17">
        <f t="shared" ref="H4:H23" si="2">VLOOKUP($A4,$J$2:$R$22,7,FALSE)</f>
        <v>3</v>
      </c>
      <c r="J4" s="16" t="s">
        <v>60</v>
      </c>
      <c r="K4" s="16" t="s">
        <v>19</v>
      </c>
      <c r="L4" s="16" t="s">
        <v>61</v>
      </c>
      <c r="M4" s="16" t="s">
        <v>18</v>
      </c>
      <c r="N4" s="16">
        <v>45000</v>
      </c>
      <c r="O4" s="16">
        <v>2200</v>
      </c>
      <c r="P4" s="16">
        <v>2</v>
      </c>
      <c r="Q4" s="18">
        <v>44448</v>
      </c>
      <c r="R4" s="19" t="s">
        <v>62</v>
      </c>
      <c r="U4" s="22"/>
      <c r="V4" s="22"/>
      <c r="W4" s="22"/>
      <c r="X4" s="22"/>
    </row>
    <row r="5" spans="1:24" x14ac:dyDescent="0.3">
      <c r="A5" s="16" t="s">
        <v>21</v>
      </c>
      <c r="B5" s="16" t="s">
        <v>22</v>
      </c>
      <c r="C5" s="16" t="s">
        <v>0</v>
      </c>
      <c r="D5" s="16" t="s">
        <v>23</v>
      </c>
      <c r="E5" s="17"/>
      <c r="F5" s="17" t="str">
        <f t="shared" si="0"/>
        <v>E003</v>
      </c>
      <c r="G5" s="17">
        <f t="shared" si="1"/>
        <v>65000</v>
      </c>
      <c r="H5" s="17">
        <f t="shared" si="2"/>
        <v>5</v>
      </c>
      <c r="J5" s="16" t="s">
        <v>33</v>
      </c>
      <c r="K5" s="16" t="s">
        <v>24</v>
      </c>
      <c r="L5" s="16" t="s">
        <v>34</v>
      </c>
      <c r="M5" s="16" t="s">
        <v>18</v>
      </c>
      <c r="N5" s="16">
        <v>47000</v>
      </c>
      <c r="O5" s="16">
        <v>2500</v>
      </c>
      <c r="P5" s="16">
        <v>3</v>
      </c>
      <c r="Q5" s="18">
        <v>44359</v>
      </c>
      <c r="R5" s="19" t="s">
        <v>35</v>
      </c>
      <c r="U5" s="22"/>
      <c r="V5" s="22"/>
      <c r="W5" s="22"/>
      <c r="X5" s="22"/>
    </row>
    <row r="6" spans="1:24" x14ac:dyDescent="0.3">
      <c r="A6" s="16" t="s">
        <v>26</v>
      </c>
      <c r="B6" s="16" t="s">
        <v>27</v>
      </c>
      <c r="C6" s="16" t="s">
        <v>1</v>
      </c>
      <c r="D6" s="16" t="s">
        <v>13</v>
      </c>
      <c r="E6" s="17"/>
      <c r="F6" s="17" t="str">
        <f t="shared" si="0"/>
        <v>E004</v>
      </c>
      <c r="G6" s="17">
        <f t="shared" si="1"/>
        <v>54000</v>
      </c>
      <c r="H6" s="17">
        <f t="shared" si="2"/>
        <v>4</v>
      </c>
      <c r="J6" s="16" t="s">
        <v>69</v>
      </c>
      <c r="K6" s="16" t="s">
        <v>24</v>
      </c>
      <c r="L6" s="16" t="s">
        <v>70</v>
      </c>
      <c r="M6" s="16" t="s">
        <v>18</v>
      </c>
      <c r="N6" s="16">
        <v>47000</v>
      </c>
      <c r="O6" s="16">
        <v>2600</v>
      </c>
      <c r="P6" s="16">
        <v>3</v>
      </c>
      <c r="Q6" s="18">
        <v>44620</v>
      </c>
      <c r="R6" s="19" t="s">
        <v>71</v>
      </c>
    </row>
    <row r="7" spans="1:24" x14ac:dyDescent="0.3">
      <c r="A7" s="16" t="s">
        <v>30</v>
      </c>
      <c r="B7" s="16" t="s">
        <v>31</v>
      </c>
      <c r="C7" s="16" t="s">
        <v>0</v>
      </c>
      <c r="D7" s="16" t="s">
        <v>23</v>
      </c>
      <c r="E7" s="17"/>
      <c r="F7" s="17" t="str">
        <f t="shared" si="0"/>
        <v>E005</v>
      </c>
      <c r="G7" s="17">
        <f t="shared" si="1"/>
        <v>72000</v>
      </c>
      <c r="H7" s="17">
        <f t="shared" si="2"/>
        <v>5</v>
      </c>
      <c r="J7" s="16" t="s">
        <v>51</v>
      </c>
      <c r="K7" s="16" t="s">
        <v>28</v>
      </c>
      <c r="L7" s="16" t="s">
        <v>52</v>
      </c>
      <c r="M7" s="16" t="s">
        <v>18</v>
      </c>
      <c r="N7" s="16">
        <v>49000</v>
      </c>
      <c r="O7" s="16">
        <v>2800</v>
      </c>
      <c r="P7" s="16">
        <v>3</v>
      </c>
      <c r="Q7" s="18">
        <v>44115</v>
      </c>
      <c r="R7" s="19" t="s">
        <v>53</v>
      </c>
    </row>
    <row r="8" spans="1:24" x14ac:dyDescent="0.3">
      <c r="A8" s="16" t="s">
        <v>33</v>
      </c>
      <c r="B8" s="16" t="s">
        <v>34</v>
      </c>
      <c r="C8" s="16" t="s">
        <v>1</v>
      </c>
      <c r="D8" s="16" t="s">
        <v>18</v>
      </c>
      <c r="E8" s="17"/>
      <c r="F8" s="17" t="str">
        <f t="shared" si="0"/>
        <v>E006</v>
      </c>
      <c r="G8" s="17">
        <f t="shared" si="1"/>
        <v>47000</v>
      </c>
      <c r="H8" s="17">
        <f t="shared" si="2"/>
        <v>3</v>
      </c>
      <c r="J8" s="16" t="s">
        <v>16</v>
      </c>
      <c r="K8" s="16" t="s">
        <v>19</v>
      </c>
      <c r="L8" s="16" t="s">
        <v>17</v>
      </c>
      <c r="M8" s="16" t="s">
        <v>18</v>
      </c>
      <c r="N8" s="16">
        <v>48000</v>
      </c>
      <c r="O8" s="16">
        <v>3000</v>
      </c>
      <c r="P8" s="16">
        <v>3</v>
      </c>
      <c r="Q8" s="18">
        <v>44022</v>
      </c>
      <c r="R8" s="19" t="s">
        <v>20</v>
      </c>
    </row>
    <row r="9" spans="1:24" x14ac:dyDescent="0.3">
      <c r="A9" s="16" t="s">
        <v>36</v>
      </c>
      <c r="B9" s="16" t="s">
        <v>37</v>
      </c>
      <c r="C9" s="16" t="s">
        <v>0</v>
      </c>
      <c r="D9" s="16" t="s">
        <v>13</v>
      </c>
      <c r="E9" s="17"/>
      <c r="F9" s="17" t="str">
        <f t="shared" si="0"/>
        <v>E007</v>
      </c>
      <c r="G9" s="17">
        <f t="shared" si="1"/>
        <v>51000</v>
      </c>
      <c r="H9" s="17">
        <f t="shared" si="2"/>
        <v>4</v>
      </c>
      <c r="J9" s="16" t="s">
        <v>72</v>
      </c>
      <c r="K9" s="16" t="s">
        <v>19</v>
      </c>
      <c r="L9" s="16" t="s">
        <v>73</v>
      </c>
      <c r="M9" s="16" t="s">
        <v>13</v>
      </c>
      <c r="N9" s="16">
        <v>52000</v>
      </c>
      <c r="O9" s="16">
        <v>3900</v>
      </c>
      <c r="P9" s="16">
        <v>4</v>
      </c>
      <c r="Q9" s="18">
        <v>44329</v>
      </c>
      <c r="R9" s="19" t="s">
        <v>74</v>
      </c>
    </row>
    <row r="10" spans="1:24" x14ac:dyDescent="0.3">
      <c r="A10" s="16" t="s">
        <v>39</v>
      </c>
      <c r="B10" s="16" t="s">
        <v>40</v>
      </c>
      <c r="C10" s="16" t="s">
        <v>0</v>
      </c>
      <c r="D10" s="16" t="s">
        <v>23</v>
      </c>
      <c r="E10" s="17"/>
      <c r="F10" s="17" t="str">
        <f t="shared" si="0"/>
        <v>E008</v>
      </c>
      <c r="G10" s="17">
        <f t="shared" si="1"/>
        <v>68000</v>
      </c>
      <c r="H10" s="17">
        <f t="shared" si="2"/>
        <v>5</v>
      </c>
      <c r="J10" s="16" t="s">
        <v>36</v>
      </c>
      <c r="K10" s="16" t="s">
        <v>19</v>
      </c>
      <c r="L10" s="16" t="s">
        <v>37</v>
      </c>
      <c r="M10" s="16" t="s">
        <v>13</v>
      </c>
      <c r="N10" s="16">
        <v>51000</v>
      </c>
      <c r="O10" s="16">
        <v>4000</v>
      </c>
      <c r="P10" s="16">
        <v>4</v>
      </c>
      <c r="Q10" s="18">
        <v>43886</v>
      </c>
      <c r="R10" s="19" t="s">
        <v>38</v>
      </c>
    </row>
    <row r="11" spans="1:24" x14ac:dyDescent="0.3">
      <c r="A11" s="16" t="s">
        <v>42</v>
      </c>
      <c r="B11" s="16" t="s">
        <v>43</v>
      </c>
      <c r="C11" s="16" t="s">
        <v>1</v>
      </c>
      <c r="D11" s="16" t="s">
        <v>18</v>
      </c>
      <c r="E11" s="17"/>
      <c r="F11" s="17" t="str">
        <f t="shared" si="0"/>
        <v>E009</v>
      </c>
      <c r="G11" s="17">
        <f t="shared" si="1"/>
        <v>46000</v>
      </c>
      <c r="H11" s="17">
        <f t="shared" si="2"/>
        <v>2</v>
      </c>
      <c r="J11" s="16" t="s">
        <v>45</v>
      </c>
      <c r="K11" s="16" t="s">
        <v>24</v>
      </c>
      <c r="L11" s="16" t="s">
        <v>46</v>
      </c>
      <c r="M11" s="16" t="s">
        <v>13</v>
      </c>
      <c r="N11" s="16">
        <v>53000</v>
      </c>
      <c r="O11" s="16">
        <v>4200</v>
      </c>
      <c r="P11" s="16">
        <v>4</v>
      </c>
      <c r="Q11" s="18">
        <v>44531</v>
      </c>
      <c r="R11" s="19" t="s">
        <v>47</v>
      </c>
    </row>
    <row r="12" spans="1:24" x14ac:dyDescent="0.3">
      <c r="A12" s="16" t="s">
        <v>45</v>
      </c>
      <c r="B12" s="16" t="s">
        <v>46</v>
      </c>
      <c r="C12" s="16" t="s">
        <v>0</v>
      </c>
      <c r="D12" s="16" t="s">
        <v>13</v>
      </c>
      <c r="E12" s="17"/>
      <c r="F12" s="17" t="str">
        <f t="shared" si="0"/>
        <v>E010</v>
      </c>
      <c r="G12" s="17">
        <f t="shared" si="1"/>
        <v>53000</v>
      </c>
      <c r="H12" s="17">
        <f t="shared" si="2"/>
        <v>4</v>
      </c>
      <c r="J12" s="16" t="s">
        <v>26</v>
      </c>
      <c r="K12" s="16" t="s">
        <v>28</v>
      </c>
      <c r="L12" s="16" t="s">
        <v>27</v>
      </c>
      <c r="M12" s="16" t="s">
        <v>13</v>
      </c>
      <c r="N12" s="16">
        <v>54000</v>
      </c>
      <c r="O12" s="16">
        <v>4500</v>
      </c>
      <c r="P12" s="16">
        <v>4</v>
      </c>
      <c r="Q12" s="18">
        <v>44566</v>
      </c>
      <c r="R12" s="19" t="s">
        <v>29</v>
      </c>
    </row>
    <row r="13" spans="1:24" x14ac:dyDescent="0.3">
      <c r="A13" s="16" t="s">
        <v>48</v>
      </c>
      <c r="B13" s="16" t="s">
        <v>49</v>
      </c>
      <c r="C13" s="16" t="s">
        <v>1</v>
      </c>
      <c r="D13" s="16" t="s">
        <v>23</v>
      </c>
      <c r="E13" s="17"/>
      <c r="F13" s="17" t="str">
        <f t="shared" si="0"/>
        <v>E011</v>
      </c>
      <c r="G13" s="17">
        <f t="shared" si="1"/>
        <v>70000</v>
      </c>
      <c r="H13" s="17">
        <f t="shared" si="2"/>
        <v>5</v>
      </c>
      <c r="J13" s="16" t="s">
        <v>54</v>
      </c>
      <c r="K13" s="16" t="s">
        <v>14</v>
      </c>
      <c r="L13" s="16" t="s">
        <v>55</v>
      </c>
      <c r="M13" s="16" t="s">
        <v>13</v>
      </c>
      <c r="N13" s="16">
        <v>55000</v>
      </c>
      <c r="O13" s="16">
        <v>4700</v>
      </c>
      <c r="P13" s="16">
        <v>4</v>
      </c>
      <c r="Q13" s="18">
        <v>43527</v>
      </c>
      <c r="R13" s="19" t="s">
        <v>56</v>
      </c>
    </row>
    <row r="14" spans="1:24" x14ac:dyDescent="0.3">
      <c r="A14" s="16" t="s">
        <v>51</v>
      </c>
      <c r="B14" s="16" t="s">
        <v>52</v>
      </c>
      <c r="C14" s="16" t="s">
        <v>0</v>
      </c>
      <c r="D14" s="16" t="s">
        <v>18</v>
      </c>
      <c r="E14" s="17"/>
      <c r="F14" s="17" t="str">
        <f t="shared" si="0"/>
        <v>E012</v>
      </c>
      <c r="G14" s="17">
        <f t="shared" si="1"/>
        <v>49000</v>
      </c>
      <c r="H14" s="17">
        <f t="shared" si="2"/>
        <v>3</v>
      </c>
      <c r="J14" s="16" t="s">
        <v>63</v>
      </c>
      <c r="K14" s="16" t="s">
        <v>28</v>
      </c>
      <c r="L14" s="16" t="s">
        <v>64</v>
      </c>
      <c r="M14" s="16" t="s">
        <v>13</v>
      </c>
      <c r="N14" s="16">
        <v>56000</v>
      </c>
      <c r="O14" s="16">
        <v>4800</v>
      </c>
      <c r="P14" s="16">
        <v>4</v>
      </c>
      <c r="Q14" s="18">
        <v>43849</v>
      </c>
      <c r="R14" s="19" t="s">
        <v>65</v>
      </c>
    </row>
    <row r="15" spans="1:24" x14ac:dyDescent="0.3">
      <c r="A15" s="16" t="s">
        <v>54</v>
      </c>
      <c r="B15" s="16" t="s">
        <v>55</v>
      </c>
      <c r="C15" s="16" t="s">
        <v>0</v>
      </c>
      <c r="D15" s="16" t="s">
        <v>13</v>
      </c>
      <c r="E15" s="17"/>
      <c r="F15" s="17" t="str">
        <f t="shared" si="0"/>
        <v>E013</v>
      </c>
      <c r="G15" s="17">
        <f t="shared" si="1"/>
        <v>55000</v>
      </c>
      <c r="H15" s="17">
        <f t="shared" si="2"/>
        <v>4</v>
      </c>
      <c r="J15" s="16" t="s">
        <v>11</v>
      </c>
      <c r="K15" s="16" t="s">
        <v>14</v>
      </c>
      <c r="L15" s="16" t="s">
        <v>12</v>
      </c>
      <c r="M15" s="16" t="s">
        <v>13</v>
      </c>
      <c r="N15" s="16">
        <v>52000</v>
      </c>
      <c r="O15" s="16">
        <v>5000</v>
      </c>
      <c r="P15" s="16">
        <v>4</v>
      </c>
      <c r="Q15" s="18">
        <v>44270</v>
      </c>
      <c r="R15" s="19" t="s">
        <v>15</v>
      </c>
    </row>
    <row r="16" spans="1:24" x14ac:dyDescent="0.3">
      <c r="A16" s="16" t="s">
        <v>57</v>
      </c>
      <c r="B16" s="16" t="s">
        <v>58</v>
      </c>
      <c r="C16" s="16" t="s">
        <v>1</v>
      </c>
      <c r="D16" s="16" t="s">
        <v>23</v>
      </c>
      <c r="E16" s="17"/>
      <c r="F16" s="17" t="str">
        <f t="shared" si="0"/>
        <v>E014</v>
      </c>
      <c r="G16" s="17">
        <f t="shared" si="1"/>
        <v>73000</v>
      </c>
      <c r="H16" s="17">
        <f t="shared" si="2"/>
        <v>5</v>
      </c>
      <c r="J16" s="16" t="s">
        <v>39</v>
      </c>
      <c r="K16" s="16" t="s">
        <v>28</v>
      </c>
      <c r="L16" s="16" t="s">
        <v>40</v>
      </c>
      <c r="M16" s="16" t="s">
        <v>23</v>
      </c>
      <c r="N16" s="16">
        <v>68000</v>
      </c>
      <c r="O16" s="16">
        <v>6000</v>
      </c>
      <c r="P16" s="16">
        <v>5</v>
      </c>
      <c r="Q16" s="18">
        <v>43707</v>
      </c>
      <c r="R16" s="19" t="s">
        <v>41</v>
      </c>
    </row>
    <row r="17" spans="1:18" x14ac:dyDescent="0.3">
      <c r="A17" s="16" t="s">
        <v>60</v>
      </c>
      <c r="B17" s="16" t="s">
        <v>61</v>
      </c>
      <c r="C17" s="16" t="s">
        <v>0</v>
      </c>
      <c r="D17" s="16" t="s">
        <v>18</v>
      </c>
      <c r="E17" s="17"/>
      <c r="F17" s="17" t="str">
        <f t="shared" si="0"/>
        <v>E015</v>
      </c>
      <c r="G17" s="17">
        <f t="shared" si="1"/>
        <v>45000</v>
      </c>
      <c r="H17" s="17">
        <f t="shared" si="2"/>
        <v>2</v>
      </c>
      <c r="J17" s="16" t="s">
        <v>21</v>
      </c>
      <c r="K17" s="16" t="s">
        <v>24</v>
      </c>
      <c r="L17" s="16" t="s">
        <v>22</v>
      </c>
      <c r="M17" s="16" t="s">
        <v>23</v>
      </c>
      <c r="N17" s="16">
        <v>65000</v>
      </c>
      <c r="O17" s="16">
        <v>7000</v>
      </c>
      <c r="P17" s="16">
        <v>5</v>
      </c>
      <c r="Q17" s="18">
        <v>43791</v>
      </c>
      <c r="R17" s="19" t="s">
        <v>25</v>
      </c>
    </row>
    <row r="18" spans="1:18" x14ac:dyDescent="0.3">
      <c r="A18" s="16" t="s">
        <v>63</v>
      </c>
      <c r="B18" s="16" t="s">
        <v>64</v>
      </c>
      <c r="C18" s="16" t="s">
        <v>1</v>
      </c>
      <c r="D18" s="16" t="s">
        <v>13</v>
      </c>
      <c r="E18" s="17"/>
      <c r="F18" s="17" t="str">
        <f t="shared" si="0"/>
        <v>E016</v>
      </c>
      <c r="G18" s="17">
        <f t="shared" si="1"/>
        <v>56000</v>
      </c>
      <c r="H18" s="17">
        <f t="shared" si="2"/>
        <v>4</v>
      </c>
      <c r="J18" s="16" t="s">
        <v>66</v>
      </c>
      <c r="K18" s="16" t="s">
        <v>14</v>
      </c>
      <c r="L18" s="16" t="s">
        <v>67</v>
      </c>
      <c r="M18" s="16" t="s">
        <v>23</v>
      </c>
      <c r="N18" s="16">
        <v>69000</v>
      </c>
      <c r="O18" s="16">
        <v>7100</v>
      </c>
      <c r="P18" s="16">
        <v>5</v>
      </c>
      <c r="Q18" s="18">
        <v>43622</v>
      </c>
      <c r="R18" s="19" t="s">
        <v>68</v>
      </c>
    </row>
    <row r="19" spans="1:18" x14ac:dyDescent="0.3">
      <c r="A19" s="16" t="s">
        <v>66</v>
      </c>
      <c r="B19" s="16" t="s">
        <v>67</v>
      </c>
      <c r="C19" s="16" t="s">
        <v>0</v>
      </c>
      <c r="D19" s="16" t="s">
        <v>23</v>
      </c>
      <c r="E19" s="17"/>
      <c r="F19" s="17" t="str">
        <f t="shared" si="0"/>
        <v>E017</v>
      </c>
      <c r="G19" s="17">
        <f t="shared" si="1"/>
        <v>69000</v>
      </c>
      <c r="H19" s="17">
        <f t="shared" si="2"/>
        <v>5</v>
      </c>
      <c r="J19" s="16" t="s">
        <v>48</v>
      </c>
      <c r="K19" s="16" t="s">
        <v>19</v>
      </c>
      <c r="L19" s="16" t="s">
        <v>49</v>
      </c>
      <c r="M19" s="16" t="s">
        <v>23</v>
      </c>
      <c r="N19" s="16">
        <v>70000</v>
      </c>
      <c r="O19" s="16">
        <v>7500</v>
      </c>
      <c r="P19" s="16">
        <v>5</v>
      </c>
      <c r="Q19" s="18">
        <v>43241</v>
      </c>
      <c r="R19" s="19" t="s">
        <v>50</v>
      </c>
    </row>
    <row r="20" spans="1:18" x14ac:dyDescent="0.3">
      <c r="A20" s="16" t="s">
        <v>69</v>
      </c>
      <c r="B20" s="16" t="s">
        <v>70</v>
      </c>
      <c r="C20" s="16" t="s">
        <v>1</v>
      </c>
      <c r="D20" s="16" t="s">
        <v>18</v>
      </c>
      <c r="E20" s="17"/>
      <c r="F20" s="17" t="str">
        <f t="shared" si="0"/>
        <v>E018</v>
      </c>
      <c r="G20" s="17">
        <f t="shared" si="1"/>
        <v>47000</v>
      </c>
      <c r="H20" s="17">
        <f t="shared" si="2"/>
        <v>3</v>
      </c>
      <c r="J20" s="16" t="s">
        <v>75</v>
      </c>
      <c r="K20" s="16" t="s">
        <v>28</v>
      </c>
      <c r="L20" s="16" t="s">
        <v>76</v>
      </c>
      <c r="M20" s="16" t="s">
        <v>23</v>
      </c>
      <c r="N20" s="16">
        <v>71000</v>
      </c>
      <c r="O20" s="16">
        <v>7800</v>
      </c>
      <c r="P20" s="16">
        <v>5</v>
      </c>
      <c r="Q20" s="18">
        <v>43458</v>
      </c>
      <c r="R20" s="19" t="s">
        <v>77</v>
      </c>
    </row>
    <row r="21" spans="1:18" x14ac:dyDescent="0.3">
      <c r="A21" s="16" t="s">
        <v>72</v>
      </c>
      <c r="B21" s="16" t="s">
        <v>73</v>
      </c>
      <c r="C21" s="16" t="s">
        <v>0</v>
      </c>
      <c r="D21" s="16" t="s">
        <v>13</v>
      </c>
      <c r="E21" s="17"/>
      <c r="F21" s="17" t="str">
        <f t="shared" si="0"/>
        <v>E019</v>
      </c>
      <c r="G21" s="17">
        <f t="shared" si="1"/>
        <v>52000</v>
      </c>
      <c r="H21" s="17">
        <f t="shared" si="2"/>
        <v>4</v>
      </c>
      <c r="J21" s="16" t="s">
        <v>30</v>
      </c>
      <c r="K21" s="16" t="s">
        <v>14</v>
      </c>
      <c r="L21" s="16" t="s">
        <v>31</v>
      </c>
      <c r="M21" s="16" t="s">
        <v>23</v>
      </c>
      <c r="N21" s="16">
        <v>72000</v>
      </c>
      <c r="O21" s="16">
        <v>8000</v>
      </c>
      <c r="P21" s="16">
        <v>5</v>
      </c>
      <c r="Q21" s="18">
        <v>43361</v>
      </c>
      <c r="R21" s="19" t="s">
        <v>32</v>
      </c>
    </row>
    <row r="22" spans="1:18" x14ac:dyDescent="0.3">
      <c r="A22" s="16" t="s">
        <v>75</v>
      </c>
      <c r="B22" s="16" t="s">
        <v>76</v>
      </c>
      <c r="C22" s="16" t="s">
        <v>1</v>
      </c>
      <c r="D22" s="16" t="s">
        <v>23</v>
      </c>
      <c r="E22" s="17"/>
      <c r="F22" s="17" t="str">
        <f t="shared" si="0"/>
        <v>E020</v>
      </c>
      <c r="G22" s="17">
        <f t="shared" si="1"/>
        <v>71000</v>
      </c>
      <c r="H22" s="17">
        <f t="shared" si="2"/>
        <v>5</v>
      </c>
      <c r="J22" s="16" t="s">
        <v>57</v>
      </c>
      <c r="K22" s="16" t="s">
        <v>24</v>
      </c>
      <c r="L22" s="16" t="s">
        <v>58</v>
      </c>
      <c r="M22" s="16" t="s">
        <v>23</v>
      </c>
      <c r="N22" s="16">
        <v>73000</v>
      </c>
      <c r="O22" s="16">
        <v>8200</v>
      </c>
      <c r="P22" s="16">
        <v>5</v>
      </c>
      <c r="Q22" s="18">
        <v>42930</v>
      </c>
      <c r="R22" s="19" t="s">
        <v>59</v>
      </c>
    </row>
    <row r="23" spans="1:18" x14ac:dyDescent="0.3">
      <c r="A23" s="16" t="s">
        <v>88</v>
      </c>
      <c r="B23" s="16" t="s">
        <v>89</v>
      </c>
      <c r="C23" s="16" t="s">
        <v>0</v>
      </c>
      <c r="D23" s="16" t="s">
        <v>23</v>
      </c>
      <c r="E23" s="17"/>
      <c r="F23" s="17" t="e">
        <f t="shared" si="0"/>
        <v>#N/A</v>
      </c>
      <c r="G23" s="17" t="e">
        <f t="shared" si="1"/>
        <v>#N/A</v>
      </c>
      <c r="H23" s="17" t="e">
        <f t="shared" si="2"/>
        <v>#N/A</v>
      </c>
    </row>
  </sheetData>
  <mergeCells count="3">
    <mergeCell ref="A1:D1"/>
    <mergeCell ref="J1:R1"/>
    <mergeCell ref="U2:X5"/>
  </mergeCells>
  <hyperlinks>
    <hyperlink ref="R20" r:id="rId1" display="mailto:chloe.y@email.com"/>
    <hyperlink ref="R9" r:id="rId2" display="mailto:ethan.a@email.com"/>
    <hyperlink ref="R6" r:id="rId3" display="mailto:olivia.h@email.com"/>
    <hyperlink ref="R18" r:id="rId4" display="mailto:james.w@email.com"/>
    <hyperlink ref="R14" r:id="rId5" display="mailto:sophia.l@email.com"/>
    <hyperlink ref="R4" r:id="rId6" display="mailto:daniel.c@email.com"/>
    <hyperlink ref="R22" r:id="rId7" display="mailto:priya.s@email.com"/>
    <hyperlink ref="R13" r:id="rId8" display="mailto:kevin.w@email.com"/>
    <hyperlink ref="R7" r:id="rId9" display="mailto:alex.m@email.com"/>
    <hyperlink ref="R19" r:id="rId10" display="mailto:nina.g@email.com"/>
    <hyperlink ref="R11" r:id="rId11" display="mailto:tom.a@email.com"/>
    <hyperlink ref="R3" r:id="rId12" display="mailto:lisa.t@email.com"/>
    <hyperlink ref="R16" r:id="rId13" display="mailto:david.w@email.com"/>
    <hyperlink ref="R10" r:id="rId14" display="mailto:chris.b@email.com"/>
    <hyperlink ref="R5" r:id="rId15" display="mailto:anna.lee@email.com"/>
    <hyperlink ref="R21" r:id="rId16" display="mailto:raj.patel@email.com"/>
    <hyperlink ref="R12" r:id="rId17" display="mailto:emily.d@email.com"/>
    <hyperlink ref="R17" r:id="rId18" display="mailto:mike.j@email.com"/>
    <hyperlink ref="R8" r:id="rId19" display="mailto:sara.khan@email.com"/>
    <hyperlink ref="R15" r:id="rId20" display="mailto:john.smith@email.com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 activeCell="F2" sqref="F2:I2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21" t="s">
        <v>91</v>
      </c>
      <c r="B1" s="21"/>
      <c r="C1" s="21"/>
      <c r="D1" s="21"/>
    </row>
    <row r="2" spans="1:9" x14ac:dyDescent="0.3">
      <c r="A2" s="13" t="s">
        <v>2</v>
      </c>
      <c r="B2" s="13" t="s">
        <v>3</v>
      </c>
      <c r="C2" s="13" t="s">
        <v>78</v>
      </c>
      <c r="D2" s="13" t="s">
        <v>79</v>
      </c>
      <c r="F2" s="10" t="s">
        <v>2</v>
      </c>
      <c r="G2" s="14" t="s">
        <v>6</v>
      </c>
      <c r="H2" s="14" t="s">
        <v>8</v>
      </c>
      <c r="I2" s="14" t="s">
        <v>94</v>
      </c>
    </row>
    <row r="3" spans="1:9" x14ac:dyDescent="0.3">
      <c r="A3" s="15" t="s">
        <v>11</v>
      </c>
      <c r="B3" s="16" t="s">
        <v>12</v>
      </c>
      <c r="C3" s="16" t="s">
        <v>0</v>
      </c>
      <c r="D3" s="16" t="s">
        <v>13</v>
      </c>
      <c r="F3" t="str">
        <f>VLOOKUP($A3,Table_02!$A$2:$I$22,1,FALSE)</f>
        <v>E001</v>
      </c>
      <c r="G3">
        <f>VLOOKUP($A3,Table_02!$A$2:$I$22,5,FALSE)</f>
        <v>52000</v>
      </c>
      <c r="H3">
        <f>VLOOKUP($A3,Table_02!$A$2:$I$22,7,FALSE)</f>
        <v>10</v>
      </c>
      <c r="I3" t="str">
        <f>VLOOKUP($A3,Table_02!$A$2:$I$22,9,FALSE)</f>
        <v>john.smith@email.com</v>
      </c>
    </row>
    <row r="4" spans="1:9" x14ac:dyDescent="0.3">
      <c r="A4" s="16" t="s">
        <v>16</v>
      </c>
      <c r="B4" s="16" t="s">
        <v>17</v>
      </c>
      <c r="C4" s="16" t="s">
        <v>1</v>
      </c>
      <c r="D4" s="16" t="s">
        <v>18</v>
      </c>
      <c r="F4" t="str">
        <f>VLOOKUP($A4,Table_02!$A$2:$I$22,1,FALSE)</f>
        <v>E002</v>
      </c>
      <c r="G4">
        <f>VLOOKUP($A4,Table_02!$A$2:$I$22,5,FALSE)</f>
        <v>48000</v>
      </c>
      <c r="H4">
        <f>VLOOKUP($A4,Table_02!$A$2:$I$22,7,FALSE)</f>
        <v>3</v>
      </c>
      <c r="I4" t="str">
        <f>VLOOKUP($A4,Table_02!$A$2:$I$22,9,FALSE)</f>
        <v>sara.khan@email.com</v>
      </c>
    </row>
    <row r="5" spans="1:9" x14ac:dyDescent="0.3">
      <c r="A5" s="16" t="s">
        <v>21</v>
      </c>
      <c r="B5" s="16" t="s">
        <v>22</v>
      </c>
      <c r="C5" s="16" t="s">
        <v>0</v>
      </c>
      <c r="D5" s="16" t="s">
        <v>23</v>
      </c>
      <c r="F5" t="str">
        <f>VLOOKUP($A5,Table_02!$A$2:$I$22,1,FALSE)</f>
        <v>E003</v>
      </c>
      <c r="G5">
        <f>VLOOKUP($A5,Table_02!$A$2:$I$22,5,FALSE)</f>
        <v>65000</v>
      </c>
      <c r="H5">
        <f>VLOOKUP($A5,Table_02!$A$2:$I$22,7,FALSE)</f>
        <v>5</v>
      </c>
      <c r="I5" t="str">
        <f>VLOOKUP($A5,Table_02!$A$2:$I$22,9,FALSE)</f>
        <v>mike.j@email.com</v>
      </c>
    </row>
    <row r="6" spans="1:9" x14ac:dyDescent="0.3">
      <c r="A6" s="16" t="s">
        <v>26</v>
      </c>
      <c r="B6" s="16" t="s">
        <v>27</v>
      </c>
      <c r="C6" s="16" t="s">
        <v>1</v>
      </c>
      <c r="D6" s="16" t="s">
        <v>13</v>
      </c>
      <c r="F6" t="str">
        <f>VLOOKUP($A6,Table_02!$A$2:$I$22,1,FALSE)</f>
        <v>E004</v>
      </c>
      <c r="G6">
        <f>VLOOKUP($A6,Table_02!$A$2:$I$22,5,FALSE)</f>
        <v>54000</v>
      </c>
      <c r="H6">
        <f>VLOOKUP($A6,Table_02!$A$2:$I$22,7,FALSE)</f>
        <v>4</v>
      </c>
      <c r="I6" t="str">
        <f>VLOOKUP($A6,Table_02!$A$2:$I$22,9,FALSE)</f>
        <v>emily.d@email.com</v>
      </c>
    </row>
    <row r="7" spans="1:9" x14ac:dyDescent="0.3">
      <c r="A7" s="16" t="s">
        <v>30</v>
      </c>
      <c r="B7" s="16" t="s">
        <v>31</v>
      </c>
      <c r="C7" s="16" t="s">
        <v>0</v>
      </c>
      <c r="D7" s="16" t="s">
        <v>23</v>
      </c>
      <c r="F7" t="str">
        <f>VLOOKUP($A7,Table_02!$A$2:$I$22,1,FALSE)</f>
        <v>E005</v>
      </c>
      <c r="G7">
        <f>VLOOKUP($A7,Table_02!$A$2:$I$22,5,FALSE)</f>
        <v>72000</v>
      </c>
      <c r="H7">
        <f>VLOOKUP($A7,Table_02!$A$2:$I$22,7,FALSE)</f>
        <v>5</v>
      </c>
      <c r="I7" t="str">
        <f>VLOOKUP($A7,Table_02!$A$2:$I$22,9,FALSE)</f>
        <v>raj.patel@email.com</v>
      </c>
    </row>
    <row r="8" spans="1:9" x14ac:dyDescent="0.3">
      <c r="A8" s="16" t="s">
        <v>33</v>
      </c>
      <c r="B8" s="16" t="s">
        <v>34</v>
      </c>
      <c r="C8" s="16" t="s">
        <v>1</v>
      </c>
      <c r="D8" s="16" t="s">
        <v>18</v>
      </c>
      <c r="F8" t="str">
        <f>VLOOKUP($A8,Table_02!$A$2:$I$22,1,FALSE)</f>
        <v>E006</v>
      </c>
      <c r="G8">
        <f>VLOOKUP($A8,Table_02!$A$2:$I$22,5,FALSE)</f>
        <v>47000</v>
      </c>
      <c r="H8">
        <f>VLOOKUP($A8,Table_02!$A$2:$I$22,7,FALSE)</f>
        <v>3</v>
      </c>
      <c r="I8" t="str">
        <f>VLOOKUP($A8,Table_02!$A$2:$I$22,9,FALSE)</f>
        <v>anna.lee@email.com</v>
      </c>
    </row>
    <row r="9" spans="1:9" x14ac:dyDescent="0.3">
      <c r="A9" s="16" t="s">
        <v>36</v>
      </c>
      <c r="B9" s="16" t="s">
        <v>37</v>
      </c>
      <c r="C9" s="16" t="s">
        <v>0</v>
      </c>
      <c r="D9" s="16" t="s">
        <v>13</v>
      </c>
      <c r="F9" t="str">
        <f>VLOOKUP($A9,Table_02!$A$2:$I$22,1,FALSE)</f>
        <v>E007</v>
      </c>
      <c r="G9">
        <f>VLOOKUP($A9,Table_02!$A$2:$I$22,5,FALSE)</f>
        <v>51000</v>
      </c>
      <c r="H9">
        <f>VLOOKUP($A9,Table_02!$A$2:$I$22,7,FALSE)</f>
        <v>4</v>
      </c>
      <c r="I9" t="str">
        <f>VLOOKUP($A9,Table_02!$A$2:$I$22,9,FALSE)</f>
        <v>chris.b@email.com</v>
      </c>
    </row>
    <row r="10" spans="1:9" x14ac:dyDescent="0.3">
      <c r="A10" s="16" t="s">
        <v>39</v>
      </c>
      <c r="B10" s="16" t="s">
        <v>40</v>
      </c>
      <c r="C10" s="16" t="s">
        <v>0</v>
      </c>
      <c r="D10" s="16" t="s">
        <v>23</v>
      </c>
      <c r="F10" t="str">
        <f>VLOOKUP($A10,Table_02!$A$2:$I$22,1,FALSE)</f>
        <v>E008</v>
      </c>
      <c r="G10">
        <f>VLOOKUP($A10,Table_02!$A$2:$I$22,5,FALSE)</f>
        <v>68000</v>
      </c>
      <c r="H10">
        <f>VLOOKUP($A10,Table_02!$A$2:$I$22,7,FALSE)</f>
        <v>5</v>
      </c>
      <c r="I10" t="str">
        <f>VLOOKUP($A10,Table_02!$A$2:$I$22,9,FALSE)</f>
        <v>david.w@email.com</v>
      </c>
    </row>
    <row r="11" spans="1:9" x14ac:dyDescent="0.3">
      <c r="A11" s="16" t="s">
        <v>42</v>
      </c>
      <c r="B11" s="16" t="s">
        <v>43</v>
      </c>
      <c r="C11" s="16" t="s">
        <v>1</v>
      </c>
      <c r="D11" s="16" t="s">
        <v>18</v>
      </c>
      <c r="F11" t="str">
        <f>VLOOKUP($A11,Table_02!$A$2:$I$22,1,FALSE)</f>
        <v>E009</v>
      </c>
      <c r="G11">
        <f>VLOOKUP($A11,Table_02!$A$2:$I$22,5,FALSE)</f>
        <v>46000</v>
      </c>
      <c r="H11">
        <f>VLOOKUP($A11,Table_02!$A$2:$I$22,7,FALSE)</f>
        <v>2</v>
      </c>
      <c r="I11" t="str">
        <f>VLOOKUP($A11,Table_02!$A$2:$I$22,9,FALSE)</f>
        <v>lisa.t@email.com</v>
      </c>
    </row>
    <row r="12" spans="1:9" x14ac:dyDescent="0.3">
      <c r="A12" s="16" t="s">
        <v>45</v>
      </c>
      <c r="B12" s="16" t="s">
        <v>46</v>
      </c>
      <c r="C12" s="16" t="s">
        <v>0</v>
      </c>
      <c r="D12" s="16" t="s">
        <v>13</v>
      </c>
      <c r="F12" t="str">
        <f>VLOOKUP($A12,Table_02!$A$2:$I$22,1,FALSE)</f>
        <v>E010</v>
      </c>
      <c r="G12">
        <f>VLOOKUP($A12,Table_02!$A$2:$I$22,5,FALSE)</f>
        <v>53000</v>
      </c>
      <c r="H12">
        <f>VLOOKUP($A12,Table_02!$A$2:$I$22,7,FALSE)</f>
        <v>4</v>
      </c>
      <c r="I12" t="str">
        <f>VLOOKUP($A12,Table_02!$A$2:$I$22,9,FALSE)</f>
        <v>tom.a@email.com</v>
      </c>
    </row>
    <row r="13" spans="1:9" x14ac:dyDescent="0.3">
      <c r="A13" s="16" t="s">
        <v>48</v>
      </c>
      <c r="B13" s="16" t="s">
        <v>49</v>
      </c>
      <c r="C13" s="16" t="s">
        <v>1</v>
      </c>
      <c r="D13" s="16" t="s">
        <v>23</v>
      </c>
      <c r="F13" t="str">
        <f>VLOOKUP($A13,Table_02!$A$2:$I$22,1,FALSE)</f>
        <v>E011</v>
      </c>
      <c r="G13">
        <f>VLOOKUP($A13,Table_02!$A$2:$I$22,5,FALSE)</f>
        <v>70000</v>
      </c>
      <c r="H13">
        <f>VLOOKUP($A13,Table_02!$A$2:$I$22,7,FALSE)</f>
        <v>5</v>
      </c>
      <c r="I13" t="str">
        <f>VLOOKUP($A13,Table_02!$A$2:$I$22,9,FALSE)</f>
        <v>nina.g@email.com</v>
      </c>
    </row>
    <row r="14" spans="1:9" x14ac:dyDescent="0.3">
      <c r="A14" s="16" t="s">
        <v>51</v>
      </c>
      <c r="B14" s="16" t="s">
        <v>52</v>
      </c>
      <c r="C14" s="16" t="s">
        <v>0</v>
      </c>
      <c r="D14" s="16" t="s">
        <v>18</v>
      </c>
      <c r="F14" t="str">
        <f>VLOOKUP($A14,Table_02!$A$2:$I$22,1,FALSE)</f>
        <v>E012</v>
      </c>
      <c r="G14">
        <f>VLOOKUP($A14,Table_02!$A$2:$I$22,5,FALSE)</f>
        <v>49000</v>
      </c>
      <c r="H14">
        <f>VLOOKUP($A14,Table_02!$A$2:$I$22,7,FALSE)</f>
        <v>3</v>
      </c>
      <c r="I14" t="str">
        <f>VLOOKUP($A14,Table_02!$A$2:$I$22,9,FALSE)</f>
        <v>alex.m@email.com</v>
      </c>
    </row>
    <row r="15" spans="1:9" x14ac:dyDescent="0.3">
      <c r="A15" s="16" t="s">
        <v>54</v>
      </c>
      <c r="B15" s="16" t="s">
        <v>55</v>
      </c>
      <c r="C15" s="16" t="s">
        <v>0</v>
      </c>
      <c r="D15" s="16" t="s">
        <v>13</v>
      </c>
      <c r="F15" t="str">
        <f>VLOOKUP($A15,Table_02!$A$2:$I$22,1,FALSE)</f>
        <v>E013</v>
      </c>
      <c r="G15">
        <f>VLOOKUP($A15,Table_02!$A$2:$I$22,5,FALSE)</f>
        <v>55000</v>
      </c>
      <c r="H15">
        <f>VLOOKUP($A15,Table_02!$A$2:$I$22,7,FALSE)</f>
        <v>4</v>
      </c>
      <c r="I15" t="str">
        <f>VLOOKUP($A15,Table_02!$A$2:$I$22,9,FALSE)</f>
        <v>kevin.w@email.com</v>
      </c>
    </row>
    <row r="16" spans="1:9" x14ac:dyDescent="0.3">
      <c r="A16" s="16" t="s">
        <v>57</v>
      </c>
      <c r="B16" s="16" t="s">
        <v>58</v>
      </c>
      <c r="C16" s="16" t="s">
        <v>1</v>
      </c>
      <c r="D16" s="16" t="s">
        <v>23</v>
      </c>
      <c r="F16" t="str">
        <f>VLOOKUP($A16,Table_02!$A$2:$I$22,1,FALSE)</f>
        <v>E014</v>
      </c>
      <c r="G16">
        <f>VLOOKUP($A16,Table_02!$A$2:$I$22,5,FALSE)</f>
        <v>73000</v>
      </c>
      <c r="H16">
        <f>VLOOKUP($A16,Table_02!$A$2:$I$22,7,FALSE)</f>
        <v>5</v>
      </c>
      <c r="I16" t="str">
        <f>VLOOKUP($A16,Table_02!$A$2:$I$22,9,FALSE)</f>
        <v>priya.s@email.com</v>
      </c>
    </row>
    <row r="17" spans="1:9" x14ac:dyDescent="0.3">
      <c r="A17" s="16" t="s">
        <v>60</v>
      </c>
      <c r="B17" s="16" t="s">
        <v>61</v>
      </c>
      <c r="C17" s="16" t="s">
        <v>0</v>
      </c>
      <c r="D17" s="16" t="s">
        <v>18</v>
      </c>
      <c r="F17" t="str">
        <f>VLOOKUP($A17,Table_02!$A$2:$I$22,1,FALSE)</f>
        <v>E015</v>
      </c>
      <c r="G17">
        <f>VLOOKUP($A17,Table_02!$A$2:$I$22,5,FALSE)</f>
        <v>45000</v>
      </c>
      <c r="H17">
        <f>VLOOKUP($A17,Table_02!$A$2:$I$22,7,FALSE)</f>
        <v>2</v>
      </c>
      <c r="I17" t="str">
        <f>VLOOKUP($A17,Table_02!$A$2:$I$22,9,FALSE)</f>
        <v>daniel.c@email.com</v>
      </c>
    </row>
    <row r="18" spans="1:9" x14ac:dyDescent="0.3">
      <c r="A18" s="16" t="s">
        <v>63</v>
      </c>
      <c r="B18" s="16" t="s">
        <v>64</v>
      </c>
      <c r="C18" s="16" t="s">
        <v>1</v>
      </c>
      <c r="D18" s="16" t="s">
        <v>13</v>
      </c>
      <c r="F18" t="str">
        <f>VLOOKUP($A18,Table_02!$A$2:$I$22,1,FALSE)</f>
        <v>E016</v>
      </c>
      <c r="G18">
        <f>VLOOKUP($A18,Table_02!$A$2:$I$22,5,FALSE)</f>
        <v>56000</v>
      </c>
      <c r="H18">
        <f>VLOOKUP($A18,Table_02!$A$2:$I$22,7,FALSE)</f>
        <v>4</v>
      </c>
      <c r="I18" t="str">
        <f>VLOOKUP($A18,Table_02!$A$2:$I$22,9,FALSE)</f>
        <v>sophia.l@email.com</v>
      </c>
    </row>
    <row r="19" spans="1:9" x14ac:dyDescent="0.3">
      <c r="A19" s="16" t="s">
        <v>66</v>
      </c>
      <c r="B19" s="16" t="s">
        <v>67</v>
      </c>
      <c r="C19" s="16" t="s">
        <v>0</v>
      </c>
      <c r="D19" s="16" t="s">
        <v>23</v>
      </c>
      <c r="F19" t="str">
        <f>VLOOKUP($A19,Table_02!$A$2:$I$22,1,FALSE)</f>
        <v>E017</v>
      </c>
      <c r="G19">
        <f>VLOOKUP($A19,Table_02!$A$2:$I$22,5,FALSE)</f>
        <v>69000</v>
      </c>
      <c r="H19">
        <f>VLOOKUP($A19,Table_02!$A$2:$I$22,7,FALSE)</f>
        <v>5</v>
      </c>
      <c r="I19" t="str">
        <f>VLOOKUP($A19,Table_02!$A$2:$I$22,9,FALSE)</f>
        <v>james.w@email.com</v>
      </c>
    </row>
    <row r="20" spans="1:9" x14ac:dyDescent="0.3">
      <c r="A20" s="16" t="s">
        <v>69</v>
      </c>
      <c r="B20" s="16" t="s">
        <v>70</v>
      </c>
      <c r="C20" s="16" t="s">
        <v>1</v>
      </c>
      <c r="D20" s="16" t="s">
        <v>18</v>
      </c>
      <c r="F20" t="str">
        <f>VLOOKUP($A20,Table_02!$A$2:$I$22,1,FALSE)</f>
        <v>E018</v>
      </c>
      <c r="G20">
        <f>VLOOKUP($A20,Table_02!$A$2:$I$22,5,FALSE)</f>
        <v>47000</v>
      </c>
      <c r="H20">
        <f>VLOOKUP($A20,Table_02!$A$2:$I$22,7,FALSE)</f>
        <v>3</v>
      </c>
      <c r="I20" t="str">
        <f>VLOOKUP($A20,Table_02!$A$2:$I$22,9,FALSE)</f>
        <v>olivia.h@email.com</v>
      </c>
    </row>
    <row r="21" spans="1:9" x14ac:dyDescent="0.3">
      <c r="A21" s="16" t="s">
        <v>72</v>
      </c>
      <c r="B21" s="16" t="s">
        <v>73</v>
      </c>
      <c r="C21" s="16" t="s">
        <v>0</v>
      </c>
      <c r="D21" s="16" t="s">
        <v>13</v>
      </c>
      <c r="F21" t="str">
        <f>VLOOKUP($A21,Table_02!$A$2:$I$22,1,FALSE)</f>
        <v>E019</v>
      </c>
      <c r="G21">
        <f>VLOOKUP($A21,Table_02!$A$2:$I$22,5,FALSE)</f>
        <v>52000</v>
      </c>
      <c r="H21">
        <f>VLOOKUP($A21,Table_02!$A$2:$I$22,7,FALSE)</f>
        <v>4</v>
      </c>
      <c r="I21" t="str">
        <f>VLOOKUP($A21,Table_02!$A$2:$I$22,9,FALSE)</f>
        <v>ethan.a@email.com</v>
      </c>
    </row>
    <row r="22" spans="1:9" x14ac:dyDescent="0.3">
      <c r="A22" s="16" t="s">
        <v>75</v>
      </c>
      <c r="B22" s="16" t="s">
        <v>76</v>
      </c>
      <c r="C22" s="16" t="s">
        <v>1</v>
      </c>
      <c r="D22" s="16" t="s">
        <v>23</v>
      </c>
      <c r="F22" t="str">
        <f>VLOOKUP($A22,Table_02!$A$2:$I$22,1,FALSE)</f>
        <v>E020</v>
      </c>
      <c r="G22">
        <f>VLOOKUP($A22,Table_02!$A$2:$I$22,5,FALSE)</f>
        <v>71000</v>
      </c>
      <c r="H22">
        <f>VLOOKUP($A22,Table_02!$A$2:$I$22,7,FALSE)</f>
        <v>5</v>
      </c>
      <c r="I22" t="str">
        <f>VLOOKUP($A22,Table_02!$A$2:$I$22,9,FALSE)</f>
        <v>chloe.y@email.com</v>
      </c>
    </row>
    <row r="23" spans="1:9" x14ac:dyDescent="0.3">
      <c r="A23" s="16" t="s">
        <v>88</v>
      </c>
      <c r="B23" s="16" t="s">
        <v>89</v>
      </c>
      <c r="C23" s="16" t="s">
        <v>0</v>
      </c>
      <c r="D23" s="16" t="s">
        <v>23</v>
      </c>
      <c r="F23" t="e">
        <f>VLOOKUP($A23,Table_02!$A$2:$I$22,1,FALSE)</f>
        <v>#N/A</v>
      </c>
      <c r="G23" t="e">
        <f>VLOOKUP($A23,Table_02!$A$2:$I$22,5,FALSE)</f>
        <v>#N/A</v>
      </c>
      <c r="H23" t="e">
        <f>VLOOKUP($A23,Table_02!$A$2:$I$22,7,FALSE)</f>
        <v>#N/A</v>
      </c>
      <c r="I23" t="e">
        <f>VLOOKUP($A23,Table_02!$A$2:$I$22,9,FALSE)</f>
        <v>#N/A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8" sqref="D8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21" t="s">
        <v>91</v>
      </c>
      <c r="B1" s="21"/>
      <c r="C1" s="21"/>
      <c r="D1" s="21"/>
    </row>
    <row r="2" spans="1:9" x14ac:dyDescent="0.3">
      <c r="A2" s="13" t="s">
        <v>2</v>
      </c>
      <c r="B2" s="13" t="s">
        <v>3</v>
      </c>
      <c r="C2" s="13" t="s">
        <v>78</v>
      </c>
      <c r="D2" s="13" t="s">
        <v>79</v>
      </c>
      <c r="F2" s="10" t="s">
        <v>2</v>
      </c>
      <c r="G2" s="14" t="s">
        <v>6</v>
      </c>
      <c r="H2" s="14" t="s">
        <v>8</v>
      </c>
      <c r="I2" s="14" t="s">
        <v>94</v>
      </c>
    </row>
    <row r="3" spans="1:9" x14ac:dyDescent="0.3">
      <c r="A3" s="15" t="s">
        <v>11</v>
      </c>
      <c r="B3" s="16" t="s">
        <v>12</v>
      </c>
      <c r="C3" s="16" t="s">
        <v>0</v>
      </c>
      <c r="D3" s="16" t="s">
        <v>13</v>
      </c>
      <c r="F3" t="str">
        <f>VLOOKUP($A3,[1]Sheet1!$A$2:$I$22,1,FALSE)</f>
        <v>E001</v>
      </c>
      <c r="G3">
        <f>VLOOKUP($A3,[1]Sheet1!$A$2:$I$22,5,FALSE)</f>
        <v>52000</v>
      </c>
      <c r="H3">
        <f>VLOOKUP($A3,[1]Sheet1!$A$2:$I$22,7,FALSE)</f>
        <v>10</v>
      </c>
      <c r="I3" t="str">
        <f>VLOOKUP($A3,[1]Sheet1!$A$2:$I$22,9,FALSE)</f>
        <v>john.smith@email.com</v>
      </c>
    </row>
    <row r="4" spans="1:9" x14ac:dyDescent="0.3">
      <c r="A4" s="16" t="s">
        <v>16</v>
      </c>
      <c r="B4" s="16" t="s">
        <v>17</v>
      </c>
      <c r="C4" s="16" t="s">
        <v>1</v>
      </c>
      <c r="D4" s="16" t="s">
        <v>18</v>
      </c>
      <c r="F4" t="str">
        <f>VLOOKUP($A4,[1]Sheet1!$A$2:$I$22,1,FALSE)</f>
        <v>E002</v>
      </c>
      <c r="G4">
        <f>VLOOKUP($A4,[1]Sheet1!$A$2:$I$22,5,FALSE)</f>
        <v>48000</v>
      </c>
      <c r="H4">
        <f>VLOOKUP($A4,[1]Sheet1!$A$2:$I$22,7,FALSE)</f>
        <v>3</v>
      </c>
      <c r="I4" t="str">
        <f>VLOOKUP($A4,[1]Sheet1!$A$2:$I$22,9,FALSE)</f>
        <v>sara.khan@email.com</v>
      </c>
    </row>
    <row r="5" spans="1:9" x14ac:dyDescent="0.3">
      <c r="A5" s="16" t="s">
        <v>21</v>
      </c>
      <c r="B5" s="16" t="s">
        <v>22</v>
      </c>
      <c r="C5" s="16" t="s">
        <v>0</v>
      </c>
      <c r="D5" s="16" t="s">
        <v>23</v>
      </c>
      <c r="F5" t="str">
        <f>VLOOKUP($A5,[1]Sheet1!$A$2:$I$22,1,FALSE)</f>
        <v>E003</v>
      </c>
      <c r="G5">
        <f>VLOOKUP($A5,[1]Sheet1!$A$2:$I$22,5,FALSE)</f>
        <v>65000</v>
      </c>
      <c r="H5">
        <f>VLOOKUP($A5,[1]Sheet1!$A$2:$I$22,7,FALSE)</f>
        <v>5</v>
      </c>
      <c r="I5" t="str">
        <f>VLOOKUP($A5,[1]Sheet1!$A$2:$I$22,9,FALSE)</f>
        <v>mike.j@email.com</v>
      </c>
    </row>
    <row r="6" spans="1:9" x14ac:dyDescent="0.3">
      <c r="A6" s="16" t="s">
        <v>26</v>
      </c>
      <c r="B6" s="16" t="s">
        <v>27</v>
      </c>
      <c r="C6" s="16" t="s">
        <v>1</v>
      </c>
      <c r="D6" s="16" t="s">
        <v>13</v>
      </c>
      <c r="F6" t="str">
        <f>VLOOKUP($A6,[1]Sheet1!$A$2:$I$22,1,FALSE)</f>
        <v>E004</v>
      </c>
      <c r="G6">
        <f>VLOOKUP($A6,[1]Sheet1!$A$2:$I$22,5,FALSE)</f>
        <v>54000</v>
      </c>
      <c r="H6">
        <f>VLOOKUP($A6,[1]Sheet1!$A$2:$I$22,7,FALSE)</f>
        <v>4</v>
      </c>
      <c r="I6" t="str">
        <f>VLOOKUP($A6,[1]Sheet1!$A$2:$I$22,9,FALSE)</f>
        <v>emily.d@email.com</v>
      </c>
    </row>
    <row r="7" spans="1:9" x14ac:dyDescent="0.3">
      <c r="A7" s="16" t="s">
        <v>30</v>
      </c>
      <c r="B7" s="16" t="s">
        <v>31</v>
      </c>
      <c r="C7" s="16" t="s">
        <v>0</v>
      </c>
      <c r="D7" s="16" t="s">
        <v>23</v>
      </c>
      <c r="F7" t="str">
        <f>VLOOKUP($A7,[1]Sheet1!$A$2:$I$22,1,FALSE)</f>
        <v>E005</v>
      </c>
      <c r="G7">
        <f>VLOOKUP($A7,[1]Sheet1!$A$2:$I$22,5,FALSE)</f>
        <v>72000</v>
      </c>
      <c r="H7">
        <f>VLOOKUP($A7,[1]Sheet1!$A$2:$I$22,7,FALSE)</f>
        <v>5</v>
      </c>
      <c r="I7" t="str">
        <f>VLOOKUP($A7,[1]Sheet1!$A$2:$I$22,9,FALSE)</f>
        <v>raj.patel@email.com</v>
      </c>
    </row>
    <row r="8" spans="1:9" x14ac:dyDescent="0.3">
      <c r="A8" s="16" t="s">
        <v>33</v>
      </c>
      <c r="B8" s="16" t="s">
        <v>34</v>
      </c>
      <c r="C8" s="16" t="s">
        <v>1</v>
      </c>
      <c r="D8" s="16"/>
      <c r="F8" t="str">
        <f>VLOOKUP($A8,[1]Sheet1!$A$2:$I$22,1,FALSE)</f>
        <v>E006</v>
      </c>
      <c r="G8">
        <f>VLOOKUP($A8,[1]Sheet1!$A$2:$I$22,5,FALSE)</f>
        <v>47000</v>
      </c>
      <c r="H8">
        <f>VLOOKUP($A8,[1]Sheet1!$A$2:$I$22,7,FALSE)</f>
        <v>3</v>
      </c>
      <c r="I8" t="str">
        <f>VLOOKUP($A8,[1]Sheet1!$A$2:$I$22,9,FALSE)</f>
        <v>anna.lee@email.com</v>
      </c>
    </row>
    <row r="9" spans="1:9" x14ac:dyDescent="0.3">
      <c r="A9" s="16" t="s">
        <v>36</v>
      </c>
      <c r="B9" s="16" t="s">
        <v>37</v>
      </c>
      <c r="C9" s="16" t="s">
        <v>0</v>
      </c>
      <c r="D9" s="16" t="s">
        <v>13</v>
      </c>
      <c r="F9" t="str">
        <f>VLOOKUP($A9,[1]Sheet1!$A$2:$I$22,1,FALSE)</f>
        <v>E007</v>
      </c>
      <c r="G9">
        <f>VLOOKUP($A9,[1]Sheet1!$A$2:$I$22,5,FALSE)</f>
        <v>51000</v>
      </c>
      <c r="H9">
        <f>VLOOKUP($A9,[1]Sheet1!$A$2:$I$22,7,FALSE)</f>
        <v>4</v>
      </c>
      <c r="I9" t="str">
        <f>VLOOKUP($A9,[1]Sheet1!$A$2:$I$22,9,FALSE)</f>
        <v>chris.b@email.com</v>
      </c>
    </row>
    <row r="10" spans="1:9" x14ac:dyDescent="0.3">
      <c r="A10" s="16" t="s">
        <v>39</v>
      </c>
      <c r="B10" s="16" t="s">
        <v>40</v>
      </c>
      <c r="C10" s="16" t="s">
        <v>0</v>
      </c>
      <c r="D10" s="16" t="s">
        <v>23</v>
      </c>
      <c r="F10" t="str">
        <f>VLOOKUP($A10,[1]Sheet1!$A$2:$I$22,1,FALSE)</f>
        <v>E008</v>
      </c>
      <c r="G10">
        <f>VLOOKUP($A10,[1]Sheet1!$A$2:$I$22,5,FALSE)</f>
        <v>68000</v>
      </c>
      <c r="H10">
        <f>VLOOKUP($A10,[1]Sheet1!$A$2:$I$22,7,FALSE)</f>
        <v>5</v>
      </c>
      <c r="I10" t="str">
        <f>VLOOKUP($A10,[1]Sheet1!$A$2:$I$22,9,FALSE)</f>
        <v>david.w@email.com</v>
      </c>
    </row>
    <row r="11" spans="1:9" x14ac:dyDescent="0.3">
      <c r="A11" s="16" t="s">
        <v>42</v>
      </c>
      <c r="B11" s="16" t="s">
        <v>43</v>
      </c>
      <c r="C11" s="16" t="s">
        <v>1</v>
      </c>
      <c r="D11" s="16" t="s">
        <v>18</v>
      </c>
      <c r="F11" t="str">
        <f>VLOOKUP($A11,[1]Sheet1!$A$2:$I$22,1,FALSE)</f>
        <v>E009</v>
      </c>
      <c r="G11">
        <f>VLOOKUP($A11,[1]Sheet1!$A$2:$I$22,5,FALSE)</f>
        <v>46000</v>
      </c>
      <c r="H11">
        <f>VLOOKUP($A11,[1]Sheet1!$A$2:$I$22,7,FALSE)</f>
        <v>2</v>
      </c>
      <c r="I11" t="str">
        <f>VLOOKUP($A11,[1]Sheet1!$A$2:$I$22,9,FALSE)</f>
        <v>lisa.t@email.com</v>
      </c>
    </row>
    <row r="12" spans="1:9" x14ac:dyDescent="0.3">
      <c r="A12" s="16" t="s">
        <v>45</v>
      </c>
      <c r="B12" s="16" t="s">
        <v>46</v>
      </c>
      <c r="C12" s="16" t="s">
        <v>0</v>
      </c>
      <c r="D12" s="16" t="s">
        <v>13</v>
      </c>
      <c r="F12" t="str">
        <f>VLOOKUP($A12,[1]Sheet1!$A$2:$I$22,1,FALSE)</f>
        <v>E010</v>
      </c>
      <c r="G12">
        <f>VLOOKUP($A12,[1]Sheet1!$A$2:$I$22,5,FALSE)</f>
        <v>53000</v>
      </c>
      <c r="H12">
        <f>VLOOKUP($A12,[1]Sheet1!$A$2:$I$22,7,FALSE)</f>
        <v>4</v>
      </c>
      <c r="I12" t="str">
        <f>VLOOKUP($A12,[1]Sheet1!$A$2:$I$22,9,FALSE)</f>
        <v>tom.a@email.com</v>
      </c>
    </row>
    <row r="13" spans="1:9" x14ac:dyDescent="0.3">
      <c r="A13" s="16" t="s">
        <v>48</v>
      </c>
      <c r="B13" s="16" t="s">
        <v>49</v>
      </c>
      <c r="C13" s="16" t="s">
        <v>1</v>
      </c>
      <c r="D13" s="16" t="s">
        <v>23</v>
      </c>
      <c r="F13" t="str">
        <f>VLOOKUP($A13,[1]Sheet1!$A$2:$I$22,1,FALSE)</f>
        <v>E011</v>
      </c>
      <c r="G13">
        <f>VLOOKUP($A13,[1]Sheet1!$A$2:$I$22,5,FALSE)</f>
        <v>70000</v>
      </c>
      <c r="H13">
        <f>VLOOKUP($A13,[1]Sheet1!$A$2:$I$22,7,FALSE)</f>
        <v>5</v>
      </c>
      <c r="I13" t="str">
        <f>VLOOKUP($A13,[1]Sheet1!$A$2:$I$22,9,FALSE)</f>
        <v>nina.g@email.com</v>
      </c>
    </row>
    <row r="14" spans="1:9" x14ac:dyDescent="0.3">
      <c r="A14" s="16" t="s">
        <v>51</v>
      </c>
      <c r="B14" s="16" t="s">
        <v>52</v>
      </c>
      <c r="C14" s="16" t="s">
        <v>0</v>
      </c>
      <c r="D14" s="16" t="s">
        <v>18</v>
      </c>
      <c r="F14" t="str">
        <f>VLOOKUP($A14,[1]Sheet1!$A$2:$I$22,1,FALSE)</f>
        <v>E012</v>
      </c>
      <c r="G14">
        <f>VLOOKUP($A14,[1]Sheet1!$A$2:$I$22,5,FALSE)</f>
        <v>49000</v>
      </c>
      <c r="H14">
        <f>VLOOKUP($A14,[1]Sheet1!$A$2:$I$22,7,FALSE)</f>
        <v>3</v>
      </c>
      <c r="I14" t="str">
        <f>VLOOKUP($A14,[1]Sheet1!$A$2:$I$22,9,FALSE)</f>
        <v>alex.m@email.com</v>
      </c>
    </row>
    <row r="15" spans="1:9" x14ac:dyDescent="0.3">
      <c r="A15" s="16" t="s">
        <v>54</v>
      </c>
      <c r="B15" s="16" t="s">
        <v>55</v>
      </c>
      <c r="C15" s="16" t="s">
        <v>0</v>
      </c>
      <c r="D15" s="16" t="s">
        <v>13</v>
      </c>
      <c r="F15" t="str">
        <f>VLOOKUP($A15,[1]Sheet1!$A$2:$I$22,1,FALSE)</f>
        <v>E013</v>
      </c>
      <c r="G15">
        <f>VLOOKUP($A15,[1]Sheet1!$A$2:$I$22,5,FALSE)</f>
        <v>55000</v>
      </c>
      <c r="H15">
        <f>VLOOKUP($A15,[1]Sheet1!$A$2:$I$22,7,FALSE)</f>
        <v>4</v>
      </c>
      <c r="I15" t="str">
        <f>VLOOKUP($A15,[1]Sheet1!$A$2:$I$22,9,FALSE)</f>
        <v>kevin.w@email.com</v>
      </c>
    </row>
    <row r="16" spans="1:9" x14ac:dyDescent="0.3">
      <c r="A16" s="16" t="s">
        <v>57</v>
      </c>
      <c r="B16" s="16" t="s">
        <v>58</v>
      </c>
      <c r="C16" s="16" t="s">
        <v>1</v>
      </c>
      <c r="D16" s="16" t="s">
        <v>23</v>
      </c>
      <c r="F16" t="str">
        <f>VLOOKUP($A16,[1]Sheet1!$A$2:$I$22,1,FALSE)</f>
        <v>E014</v>
      </c>
      <c r="G16">
        <f>VLOOKUP($A16,[1]Sheet1!$A$2:$I$22,5,FALSE)</f>
        <v>73000</v>
      </c>
      <c r="H16">
        <f>VLOOKUP($A16,[1]Sheet1!$A$2:$I$22,7,FALSE)</f>
        <v>5</v>
      </c>
      <c r="I16" t="str">
        <f>VLOOKUP($A16,[1]Sheet1!$A$2:$I$22,9,FALSE)</f>
        <v>priya.s@email.com</v>
      </c>
    </row>
    <row r="17" spans="1:9" x14ac:dyDescent="0.3">
      <c r="A17" s="16" t="s">
        <v>60</v>
      </c>
      <c r="B17" s="16" t="s">
        <v>61</v>
      </c>
      <c r="C17" s="16" t="s">
        <v>0</v>
      </c>
      <c r="D17" s="16" t="s">
        <v>18</v>
      </c>
      <c r="F17" t="str">
        <f>VLOOKUP($A17,[1]Sheet1!$A$2:$I$22,1,FALSE)</f>
        <v>E015</v>
      </c>
      <c r="G17">
        <f>VLOOKUP($A17,[1]Sheet1!$A$2:$I$22,5,FALSE)</f>
        <v>45000</v>
      </c>
      <c r="H17">
        <f>VLOOKUP($A17,[1]Sheet1!$A$2:$I$22,7,FALSE)</f>
        <v>2</v>
      </c>
      <c r="I17" t="str">
        <f>VLOOKUP($A17,[1]Sheet1!$A$2:$I$22,9,FALSE)</f>
        <v>daniel.c@email.com</v>
      </c>
    </row>
    <row r="18" spans="1:9" x14ac:dyDescent="0.3">
      <c r="A18" s="16" t="s">
        <v>63</v>
      </c>
      <c r="B18" s="16" t="s">
        <v>64</v>
      </c>
      <c r="C18" s="16" t="s">
        <v>1</v>
      </c>
      <c r="D18" s="16" t="s">
        <v>13</v>
      </c>
      <c r="F18" t="str">
        <f>VLOOKUP($A18,[1]Sheet1!$A$2:$I$22,1,FALSE)</f>
        <v>E016</v>
      </c>
      <c r="G18">
        <f>VLOOKUP($A18,[1]Sheet1!$A$2:$I$22,5,FALSE)</f>
        <v>56000</v>
      </c>
      <c r="H18">
        <f>VLOOKUP($A18,[1]Sheet1!$A$2:$I$22,7,FALSE)</f>
        <v>4</v>
      </c>
      <c r="I18" t="str">
        <f>VLOOKUP($A18,[1]Sheet1!$A$2:$I$22,9,FALSE)</f>
        <v>sophia.l@email.com</v>
      </c>
    </row>
    <row r="19" spans="1:9" x14ac:dyDescent="0.3">
      <c r="A19" s="16" t="s">
        <v>66</v>
      </c>
      <c r="B19" s="16" t="s">
        <v>67</v>
      </c>
      <c r="C19" s="16" t="s">
        <v>0</v>
      </c>
      <c r="D19" s="16" t="s">
        <v>23</v>
      </c>
      <c r="F19" t="str">
        <f>VLOOKUP($A19,[1]Sheet1!$A$2:$I$22,1,FALSE)</f>
        <v>E017</v>
      </c>
      <c r="G19">
        <f>VLOOKUP($A19,[1]Sheet1!$A$2:$I$22,5,FALSE)</f>
        <v>69000</v>
      </c>
      <c r="H19">
        <f>VLOOKUP($A19,[1]Sheet1!$A$2:$I$22,7,FALSE)</f>
        <v>5</v>
      </c>
      <c r="I19" t="str">
        <f>VLOOKUP($A19,[1]Sheet1!$A$2:$I$22,9,FALSE)</f>
        <v>james.w@email.com</v>
      </c>
    </row>
    <row r="20" spans="1:9" x14ac:dyDescent="0.3">
      <c r="A20" s="16" t="s">
        <v>69</v>
      </c>
      <c r="B20" s="16" t="s">
        <v>70</v>
      </c>
      <c r="C20" s="16" t="s">
        <v>1</v>
      </c>
      <c r="D20" s="16" t="s">
        <v>18</v>
      </c>
      <c r="F20" t="str">
        <f>VLOOKUP($A20,[1]Sheet1!$A$2:$I$22,1,FALSE)</f>
        <v>E018</v>
      </c>
      <c r="G20">
        <f>VLOOKUP($A20,[1]Sheet1!$A$2:$I$22,5,FALSE)</f>
        <v>47000</v>
      </c>
      <c r="H20">
        <f>VLOOKUP($A20,[1]Sheet1!$A$2:$I$22,7,FALSE)</f>
        <v>3</v>
      </c>
      <c r="I20" t="str">
        <f>VLOOKUP($A20,[1]Sheet1!$A$2:$I$22,9,FALSE)</f>
        <v>olivia.h@email.com</v>
      </c>
    </row>
    <row r="21" spans="1:9" x14ac:dyDescent="0.3">
      <c r="A21" s="16" t="s">
        <v>72</v>
      </c>
      <c r="B21" s="16" t="s">
        <v>73</v>
      </c>
      <c r="C21" s="16" t="s">
        <v>0</v>
      </c>
      <c r="D21" s="16" t="s">
        <v>13</v>
      </c>
      <c r="F21" t="str">
        <f>VLOOKUP($A21,[1]Sheet1!$A$2:$I$22,1,FALSE)</f>
        <v>E019</v>
      </c>
      <c r="G21">
        <f>VLOOKUP($A21,[1]Sheet1!$A$2:$I$22,5,FALSE)</f>
        <v>52000</v>
      </c>
      <c r="H21">
        <f>VLOOKUP($A21,[1]Sheet1!$A$2:$I$22,7,FALSE)</f>
        <v>4</v>
      </c>
      <c r="I21" t="str">
        <f>VLOOKUP($A21,[1]Sheet1!$A$2:$I$22,9,FALSE)</f>
        <v>ethan.a@email.com</v>
      </c>
    </row>
    <row r="22" spans="1:9" x14ac:dyDescent="0.3">
      <c r="A22" s="16" t="s">
        <v>75</v>
      </c>
      <c r="B22" s="16" t="s">
        <v>76</v>
      </c>
      <c r="C22" s="16" t="s">
        <v>1</v>
      </c>
      <c r="D22" s="16" t="s">
        <v>23</v>
      </c>
      <c r="F22" t="str">
        <f>VLOOKUP($A22,[1]Sheet1!$A$2:$I$22,1,FALSE)</f>
        <v>E020</v>
      </c>
      <c r="G22">
        <f>VLOOKUP($A22,[1]Sheet1!$A$2:$I$22,5,FALSE)</f>
        <v>71000</v>
      </c>
      <c r="H22">
        <f>VLOOKUP($A22,[1]Sheet1!$A$2:$I$22,7,FALSE)</f>
        <v>5</v>
      </c>
      <c r="I22" t="str">
        <f>VLOOKUP($A22,[1]Sheet1!$A$2:$I$22,9,FALSE)</f>
        <v>chloe.y@email.com</v>
      </c>
    </row>
    <row r="23" spans="1:9" x14ac:dyDescent="0.3">
      <c r="A23" s="16" t="s">
        <v>88</v>
      </c>
      <c r="B23" s="16" t="s">
        <v>89</v>
      </c>
      <c r="C23" s="16" t="s">
        <v>0</v>
      </c>
      <c r="D23" s="16" t="s">
        <v>23</v>
      </c>
      <c r="F23" t="e">
        <f>VLOOKUP($A23,[1]Sheet1!$A$2:$I$22,1,FALSE)</f>
        <v>#N/A</v>
      </c>
      <c r="G23" t="e">
        <f>VLOOKUP($A23,[1]Sheet1!$A$2:$I$22,5,FALSE)</f>
        <v>#N/A</v>
      </c>
      <c r="H23" t="e">
        <f>VLOOKUP($A23,[1]Sheet1!$A$2:$I$22,7,FALSE)</f>
        <v>#N/A</v>
      </c>
      <c r="I23" t="e">
        <f>VLOOKUP($A23,[1]Sheet1!$A$2:$I$22,9,FALSE)</f>
        <v>#N/A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A2" sqref="A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hidden="1" customWidth="1"/>
    <col min="14" max="21" width="0" style="2" hidden="1" customWidth="1"/>
    <col min="22" max="16384" width="8.88671875" style="2"/>
  </cols>
  <sheetData>
    <row r="1" spans="1:19" x14ac:dyDescent="0.3">
      <c r="A1" s="21" t="s">
        <v>92</v>
      </c>
      <c r="B1" s="21"/>
      <c r="C1" s="21"/>
      <c r="D1" s="21"/>
      <c r="E1" s="21"/>
      <c r="F1" s="21"/>
      <c r="G1" s="21"/>
      <c r="H1" s="21"/>
      <c r="I1" s="21"/>
    </row>
    <row r="2" spans="1:19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1"/>
      <c r="K2" s="1" t="s">
        <v>84</v>
      </c>
      <c r="L2" s="1" t="s">
        <v>80</v>
      </c>
      <c r="M2" s="1" t="s">
        <v>85</v>
      </c>
      <c r="N2" s="1" t="s">
        <v>81</v>
      </c>
      <c r="O2" s="1" t="s">
        <v>82</v>
      </c>
      <c r="P2" s="1" t="s">
        <v>83</v>
      </c>
      <c r="R2" s="1" t="s">
        <v>86</v>
      </c>
      <c r="S2" s="1" t="s">
        <v>87</v>
      </c>
    </row>
    <row r="3" spans="1:19" x14ac:dyDescent="0.3">
      <c r="A3" s="6" t="s">
        <v>11</v>
      </c>
      <c r="B3" s="6" t="s">
        <v>12</v>
      </c>
      <c r="C3" s="6" t="s">
        <v>13</v>
      </c>
      <c r="D3" s="6" t="s">
        <v>14</v>
      </c>
      <c r="E3" s="6">
        <v>52000</v>
      </c>
      <c r="F3" s="6">
        <v>5000</v>
      </c>
      <c r="G3" s="6">
        <v>10</v>
      </c>
      <c r="H3" s="7">
        <v>44270</v>
      </c>
      <c r="I3" s="8" t="s">
        <v>15</v>
      </c>
      <c r="J3" s="4"/>
      <c r="K3" s="2" t="b">
        <f>G3&gt;2</f>
        <v>1</v>
      </c>
      <c r="L3" s="2" t="str">
        <f t="shared" ref="L3" si="0">IF(F3&lt;4000,"Low","Good")</f>
        <v>Good</v>
      </c>
      <c r="M3" s="2" t="str">
        <f>IF(F3&lt;4000,"Low",IF(F3&lt;6000,"Avg","Good"))</f>
        <v>Avg</v>
      </c>
      <c r="N3" s="2" t="str">
        <f>IF(AND(C3="HR",D3="West"),"Yes","No")</f>
        <v>No</v>
      </c>
      <c r="O3" s="2" t="str">
        <f>IF(OR(C3="IT",D3="South"),"Yes","No")</f>
        <v>No</v>
      </c>
      <c r="P3" s="2" t="b">
        <f>NOT(F3&lt;5000)</f>
        <v>1</v>
      </c>
    </row>
    <row r="4" spans="1:19" x14ac:dyDescent="0.3">
      <c r="A4" s="6" t="s">
        <v>16</v>
      </c>
      <c r="B4" s="6" t="s">
        <v>17</v>
      </c>
      <c r="C4" s="6" t="s">
        <v>18</v>
      </c>
      <c r="D4" s="6" t="s">
        <v>19</v>
      </c>
      <c r="E4" s="6">
        <v>48000</v>
      </c>
      <c r="F4" s="6">
        <v>3000</v>
      </c>
      <c r="G4" s="6">
        <v>3</v>
      </c>
      <c r="H4" s="7">
        <v>44022</v>
      </c>
      <c r="I4" s="8" t="s">
        <v>20</v>
      </c>
      <c r="J4" s="4"/>
      <c r="K4" s="2" t="b">
        <f t="shared" ref="K4:K22" si="1">G4&gt;2</f>
        <v>1</v>
      </c>
      <c r="L4" s="2" t="str">
        <f>IF(F4&lt;4000,"Low","Good")</f>
        <v>Low</v>
      </c>
      <c r="M4" s="2" t="str">
        <f t="shared" ref="M4:M22" si="2">IF(F4&lt;4000,"Low",IF(F4&lt;6000,"Avg","Good"))</f>
        <v>Low</v>
      </c>
      <c r="N4" s="2" t="str">
        <f t="shared" ref="N4:N22" si="3">IF(AND(C4="HR",D4="West"),"Yes","No")</f>
        <v>Yes</v>
      </c>
      <c r="O4" s="2" t="str">
        <f t="shared" ref="O4:O22" si="4">IF(OR(C4="IT",D4="South"),"Yes","No")</f>
        <v>No</v>
      </c>
      <c r="P4" s="2" t="b">
        <f t="shared" ref="P4:P22" si="5">NOT(F4&lt;5000)</f>
        <v>0</v>
      </c>
    </row>
    <row r="5" spans="1:19" x14ac:dyDescent="0.3">
      <c r="A5" s="6" t="s">
        <v>21</v>
      </c>
      <c r="B5" s="6" t="s">
        <v>22</v>
      </c>
      <c r="C5" s="6" t="s">
        <v>23</v>
      </c>
      <c r="D5" s="6" t="s">
        <v>24</v>
      </c>
      <c r="E5" s="6">
        <v>65000</v>
      </c>
      <c r="F5" s="6">
        <v>7000</v>
      </c>
      <c r="G5" s="6">
        <v>5</v>
      </c>
      <c r="H5" s="7">
        <v>43791</v>
      </c>
      <c r="I5" s="8" t="s">
        <v>25</v>
      </c>
      <c r="J5" s="4"/>
      <c r="K5" s="2" t="b">
        <f t="shared" si="1"/>
        <v>1</v>
      </c>
      <c r="L5" s="2" t="str">
        <f t="shared" ref="L5:L22" si="6">IF(F5&lt;4000,"Low","Good")</f>
        <v>Good</v>
      </c>
      <c r="M5" s="2" t="str">
        <f t="shared" si="2"/>
        <v>Good</v>
      </c>
      <c r="N5" s="2" t="str">
        <f t="shared" si="3"/>
        <v>No</v>
      </c>
      <c r="O5" s="2" t="str">
        <f t="shared" si="4"/>
        <v>Yes</v>
      </c>
      <c r="P5" s="2" t="b">
        <f t="shared" si="5"/>
        <v>1</v>
      </c>
    </row>
    <row r="6" spans="1:19" x14ac:dyDescent="0.3">
      <c r="A6" s="6" t="s">
        <v>26</v>
      </c>
      <c r="B6" s="6" t="s">
        <v>27</v>
      </c>
      <c r="C6" s="6" t="s">
        <v>13</v>
      </c>
      <c r="D6" s="6" t="s">
        <v>28</v>
      </c>
      <c r="E6" s="6">
        <v>54000</v>
      </c>
      <c r="F6" s="6">
        <v>4500</v>
      </c>
      <c r="G6" s="6">
        <v>4</v>
      </c>
      <c r="H6" s="7">
        <v>44566</v>
      </c>
      <c r="I6" s="8" t="s">
        <v>29</v>
      </c>
      <c r="J6" s="4"/>
      <c r="K6" s="2" t="b">
        <f t="shared" si="1"/>
        <v>1</v>
      </c>
      <c r="L6" s="2" t="str">
        <f t="shared" si="6"/>
        <v>Good</v>
      </c>
      <c r="M6" s="2" t="str">
        <f t="shared" si="2"/>
        <v>Avg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6" t="s">
        <v>30</v>
      </c>
      <c r="B7" s="6" t="s">
        <v>31</v>
      </c>
      <c r="C7" s="6" t="s">
        <v>23</v>
      </c>
      <c r="D7" s="6" t="s">
        <v>14</v>
      </c>
      <c r="E7" s="6">
        <v>72000</v>
      </c>
      <c r="F7" s="6">
        <v>8000</v>
      </c>
      <c r="G7" s="6">
        <v>5</v>
      </c>
      <c r="H7" s="7">
        <v>43361</v>
      </c>
      <c r="I7" s="8" t="s">
        <v>32</v>
      </c>
      <c r="J7" s="4"/>
      <c r="K7" s="2" t="b">
        <f t="shared" si="1"/>
        <v>1</v>
      </c>
      <c r="L7" s="2" t="str">
        <f t="shared" si="6"/>
        <v>Good</v>
      </c>
      <c r="M7" s="2" t="str">
        <f t="shared" si="2"/>
        <v>Good</v>
      </c>
      <c r="N7" s="2" t="str">
        <f t="shared" si="3"/>
        <v>No</v>
      </c>
      <c r="O7" s="2" t="str">
        <f t="shared" si="4"/>
        <v>Yes</v>
      </c>
      <c r="P7" s="2" t="b">
        <f t="shared" si="5"/>
        <v>1</v>
      </c>
    </row>
    <row r="8" spans="1:19" x14ac:dyDescent="0.3">
      <c r="A8" s="6" t="s">
        <v>33</v>
      </c>
      <c r="B8" s="6" t="s">
        <v>34</v>
      </c>
      <c r="C8" s="6" t="s">
        <v>18</v>
      </c>
      <c r="D8" s="6" t="s">
        <v>24</v>
      </c>
      <c r="E8" s="6">
        <v>47000</v>
      </c>
      <c r="F8" s="6">
        <v>2500</v>
      </c>
      <c r="G8" s="6">
        <v>3</v>
      </c>
      <c r="H8" s="7">
        <v>44359</v>
      </c>
      <c r="I8" s="8" t="s">
        <v>35</v>
      </c>
      <c r="J8" s="4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6" t="s">
        <v>36</v>
      </c>
      <c r="B9" s="6" t="s">
        <v>37</v>
      </c>
      <c r="C9" s="6" t="s">
        <v>13</v>
      </c>
      <c r="D9" s="6" t="s">
        <v>19</v>
      </c>
      <c r="E9" s="6">
        <v>51000</v>
      </c>
      <c r="F9" s="6">
        <v>4000</v>
      </c>
      <c r="G9" s="6">
        <v>4</v>
      </c>
      <c r="H9" s="7">
        <v>43886</v>
      </c>
      <c r="I9" s="8" t="s">
        <v>38</v>
      </c>
      <c r="J9" s="4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6" t="s">
        <v>39</v>
      </c>
      <c r="B10" s="6" t="s">
        <v>40</v>
      </c>
      <c r="C10" s="6" t="s">
        <v>23</v>
      </c>
      <c r="D10" s="6" t="s">
        <v>28</v>
      </c>
      <c r="E10" s="6">
        <v>68000</v>
      </c>
      <c r="F10" s="6">
        <v>6000</v>
      </c>
      <c r="G10" s="6">
        <v>5</v>
      </c>
      <c r="H10" s="7">
        <v>43707</v>
      </c>
      <c r="I10" s="8" t="s">
        <v>41</v>
      </c>
      <c r="J10" s="4"/>
      <c r="K10" s="2" t="b">
        <f t="shared" si="1"/>
        <v>1</v>
      </c>
      <c r="L10" s="2" t="str">
        <f t="shared" si="6"/>
        <v>Good</v>
      </c>
      <c r="M10" s="2" t="str">
        <f t="shared" si="2"/>
        <v>Good</v>
      </c>
      <c r="N10" s="2" t="str">
        <f t="shared" si="3"/>
        <v>No</v>
      </c>
      <c r="O10" s="2" t="str">
        <f t="shared" si="4"/>
        <v>Yes</v>
      </c>
      <c r="P10" s="2" t="b">
        <f t="shared" si="5"/>
        <v>1</v>
      </c>
    </row>
    <row r="11" spans="1:19" x14ac:dyDescent="0.3">
      <c r="A11" s="6" t="s">
        <v>42</v>
      </c>
      <c r="B11" s="6" t="s">
        <v>43</v>
      </c>
      <c r="C11" s="6" t="s">
        <v>18</v>
      </c>
      <c r="D11" s="6" t="s">
        <v>14</v>
      </c>
      <c r="E11" s="6">
        <v>46000</v>
      </c>
      <c r="F11" s="6">
        <v>2000</v>
      </c>
      <c r="G11" s="6">
        <v>2</v>
      </c>
      <c r="H11" s="7">
        <v>44668</v>
      </c>
      <c r="I11" s="8" t="s">
        <v>44</v>
      </c>
      <c r="J11" s="4"/>
      <c r="K11" s="2" t="b">
        <f t="shared" si="1"/>
        <v>0</v>
      </c>
      <c r="L11" s="2" t="str">
        <f t="shared" si="6"/>
        <v>Low</v>
      </c>
      <c r="M11" s="2" t="str">
        <f t="shared" si="2"/>
        <v>Low</v>
      </c>
      <c r="N11" s="2" t="str">
        <f t="shared" si="3"/>
        <v>No</v>
      </c>
      <c r="O11" s="2" t="str">
        <f t="shared" si="4"/>
        <v>No</v>
      </c>
      <c r="P11" s="2" t="b">
        <f t="shared" si="5"/>
        <v>0</v>
      </c>
    </row>
    <row r="12" spans="1:19" x14ac:dyDescent="0.3">
      <c r="A12" s="6" t="s">
        <v>45</v>
      </c>
      <c r="B12" s="6" t="s">
        <v>46</v>
      </c>
      <c r="C12" s="6" t="s">
        <v>13</v>
      </c>
      <c r="D12" s="6" t="s">
        <v>24</v>
      </c>
      <c r="E12" s="6">
        <v>53000</v>
      </c>
      <c r="F12" s="6">
        <v>4200</v>
      </c>
      <c r="G12" s="6">
        <v>4</v>
      </c>
      <c r="H12" s="7">
        <v>44531</v>
      </c>
      <c r="I12" s="8" t="s">
        <v>47</v>
      </c>
      <c r="J12" s="4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6" t="s">
        <v>48</v>
      </c>
      <c r="B13" s="6" t="s">
        <v>49</v>
      </c>
      <c r="C13" s="6" t="s">
        <v>23</v>
      </c>
      <c r="D13" s="6" t="s">
        <v>19</v>
      </c>
      <c r="E13" s="6">
        <v>70000</v>
      </c>
      <c r="F13" s="6">
        <v>7500</v>
      </c>
      <c r="G13" s="6">
        <v>5</v>
      </c>
      <c r="H13" s="7">
        <v>43241</v>
      </c>
      <c r="I13" s="8" t="s">
        <v>50</v>
      </c>
      <c r="J13" s="4"/>
      <c r="K13" s="2" t="b">
        <f t="shared" si="1"/>
        <v>1</v>
      </c>
      <c r="L13" s="2" t="str">
        <f t="shared" si="6"/>
        <v>Good</v>
      </c>
      <c r="M13" s="2" t="str">
        <f t="shared" si="2"/>
        <v>Good</v>
      </c>
      <c r="N13" s="2" t="str">
        <f t="shared" si="3"/>
        <v>No</v>
      </c>
      <c r="O13" s="2" t="str">
        <f t="shared" si="4"/>
        <v>Yes</v>
      </c>
      <c r="P13" s="2" t="b">
        <f t="shared" si="5"/>
        <v>1</v>
      </c>
    </row>
    <row r="14" spans="1:19" x14ac:dyDescent="0.3">
      <c r="A14" s="6" t="s">
        <v>51</v>
      </c>
      <c r="B14" s="6" t="s">
        <v>52</v>
      </c>
      <c r="C14" s="6" t="s">
        <v>18</v>
      </c>
      <c r="D14" s="6" t="s">
        <v>28</v>
      </c>
      <c r="E14" s="6">
        <v>49000</v>
      </c>
      <c r="F14" s="6">
        <v>2800</v>
      </c>
      <c r="G14" s="6">
        <v>3</v>
      </c>
      <c r="H14" s="7">
        <v>44115</v>
      </c>
      <c r="I14" s="8" t="s">
        <v>53</v>
      </c>
      <c r="J14" s="4"/>
      <c r="K14" s="2" t="b">
        <f t="shared" si="1"/>
        <v>1</v>
      </c>
      <c r="L14" s="2" t="str">
        <f t="shared" si="6"/>
        <v>Low</v>
      </c>
      <c r="M14" s="2" t="str">
        <f t="shared" si="2"/>
        <v>Low</v>
      </c>
      <c r="N14" s="2" t="str">
        <f t="shared" si="3"/>
        <v>No</v>
      </c>
      <c r="O14" s="2" t="str">
        <f t="shared" si="4"/>
        <v>Yes</v>
      </c>
      <c r="P14" s="2" t="b">
        <f t="shared" si="5"/>
        <v>0</v>
      </c>
    </row>
    <row r="15" spans="1:19" x14ac:dyDescent="0.3">
      <c r="A15" s="6" t="s">
        <v>54</v>
      </c>
      <c r="B15" s="6" t="s">
        <v>55</v>
      </c>
      <c r="C15" s="6" t="s">
        <v>13</v>
      </c>
      <c r="D15" s="6" t="s">
        <v>14</v>
      </c>
      <c r="E15" s="6">
        <v>55000</v>
      </c>
      <c r="F15" s="6">
        <v>4700</v>
      </c>
      <c r="G15" s="6">
        <v>4</v>
      </c>
      <c r="H15" s="7">
        <v>43527</v>
      </c>
      <c r="I15" s="8" t="s">
        <v>56</v>
      </c>
      <c r="J15" s="4"/>
      <c r="K15" s="2" t="b">
        <f t="shared" si="1"/>
        <v>1</v>
      </c>
      <c r="L15" s="2" t="str">
        <f t="shared" si="6"/>
        <v>Good</v>
      </c>
      <c r="M15" s="2" t="str">
        <f t="shared" si="2"/>
        <v>Avg</v>
      </c>
      <c r="N15" s="2" t="str">
        <f t="shared" si="3"/>
        <v>No</v>
      </c>
      <c r="O15" s="2" t="str">
        <f t="shared" si="4"/>
        <v>No</v>
      </c>
      <c r="P15" s="2" t="b">
        <f t="shared" si="5"/>
        <v>0</v>
      </c>
    </row>
    <row r="16" spans="1:19" x14ac:dyDescent="0.3">
      <c r="A16" s="6" t="s">
        <v>57</v>
      </c>
      <c r="B16" s="6" t="s">
        <v>58</v>
      </c>
      <c r="C16" s="6" t="s">
        <v>23</v>
      </c>
      <c r="D16" s="6" t="s">
        <v>24</v>
      </c>
      <c r="E16" s="6">
        <v>73000</v>
      </c>
      <c r="F16" s="6">
        <v>8200</v>
      </c>
      <c r="G16" s="6">
        <v>5</v>
      </c>
      <c r="H16" s="7">
        <v>42930</v>
      </c>
      <c r="I16" s="8" t="s">
        <v>59</v>
      </c>
      <c r="J16" s="4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6" t="s">
        <v>60</v>
      </c>
      <c r="B17" s="6" t="s">
        <v>61</v>
      </c>
      <c r="C17" s="6" t="s">
        <v>18</v>
      </c>
      <c r="D17" s="6" t="s">
        <v>19</v>
      </c>
      <c r="E17" s="6">
        <v>45000</v>
      </c>
      <c r="F17" s="6">
        <v>2200</v>
      </c>
      <c r="G17" s="6">
        <v>2</v>
      </c>
      <c r="H17" s="7">
        <v>44448</v>
      </c>
      <c r="I17" s="8" t="s">
        <v>62</v>
      </c>
      <c r="J17" s="4"/>
      <c r="K17" s="2" t="b">
        <f t="shared" si="1"/>
        <v>0</v>
      </c>
      <c r="L17" s="2" t="str">
        <f t="shared" si="6"/>
        <v>Low</v>
      </c>
      <c r="M17" s="2" t="str">
        <f t="shared" si="2"/>
        <v>Low</v>
      </c>
      <c r="N17" s="2" t="str">
        <f t="shared" si="3"/>
        <v>Yes</v>
      </c>
      <c r="O17" s="2" t="str">
        <f t="shared" si="4"/>
        <v>No</v>
      </c>
      <c r="P17" s="2" t="b">
        <f t="shared" si="5"/>
        <v>0</v>
      </c>
    </row>
    <row r="18" spans="1:16" x14ac:dyDescent="0.3">
      <c r="A18" s="6" t="s">
        <v>63</v>
      </c>
      <c r="B18" s="6" t="s">
        <v>64</v>
      </c>
      <c r="C18" s="6" t="s">
        <v>13</v>
      </c>
      <c r="D18" s="6" t="s">
        <v>28</v>
      </c>
      <c r="E18" s="6">
        <v>56000</v>
      </c>
      <c r="F18" s="6">
        <v>4800</v>
      </c>
      <c r="G18" s="6">
        <v>4</v>
      </c>
      <c r="H18" s="7">
        <v>43849</v>
      </c>
      <c r="I18" s="8" t="s">
        <v>65</v>
      </c>
      <c r="J18" s="4"/>
      <c r="K18" s="2" t="b">
        <f t="shared" si="1"/>
        <v>1</v>
      </c>
      <c r="L18" s="2" t="str">
        <f t="shared" si="6"/>
        <v>Good</v>
      </c>
      <c r="M18" s="2" t="str">
        <f t="shared" si="2"/>
        <v>Avg</v>
      </c>
      <c r="N18" s="2" t="str">
        <f t="shared" si="3"/>
        <v>No</v>
      </c>
      <c r="O18" s="2" t="str">
        <f t="shared" si="4"/>
        <v>Yes</v>
      </c>
      <c r="P18" s="2" t="b">
        <f t="shared" si="5"/>
        <v>0</v>
      </c>
    </row>
    <row r="19" spans="1:16" x14ac:dyDescent="0.3">
      <c r="A19" s="6" t="s">
        <v>66</v>
      </c>
      <c r="B19" s="6" t="s">
        <v>67</v>
      </c>
      <c r="C19" s="6" t="s">
        <v>23</v>
      </c>
      <c r="D19" s="6" t="s">
        <v>14</v>
      </c>
      <c r="E19" s="6">
        <v>69000</v>
      </c>
      <c r="F19" s="6">
        <v>7100</v>
      </c>
      <c r="G19" s="6">
        <v>5</v>
      </c>
      <c r="H19" s="7">
        <v>43622</v>
      </c>
      <c r="I19" s="8" t="s">
        <v>68</v>
      </c>
      <c r="J19" s="4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6" t="s">
        <v>69</v>
      </c>
      <c r="B20" s="6" t="s">
        <v>70</v>
      </c>
      <c r="C20" s="6" t="s">
        <v>18</v>
      </c>
      <c r="D20" s="6" t="s">
        <v>24</v>
      </c>
      <c r="E20" s="6">
        <v>47000</v>
      </c>
      <c r="F20" s="6">
        <v>2600</v>
      </c>
      <c r="G20" s="6">
        <v>3</v>
      </c>
      <c r="H20" s="7">
        <v>44620</v>
      </c>
      <c r="I20" s="8" t="s">
        <v>71</v>
      </c>
      <c r="J20" s="4"/>
      <c r="K20" s="2" t="b">
        <f t="shared" si="1"/>
        <v>1</v>
      </c>
      <c r="L20" s="2" t="str">
        <f t="shared" si="6"/>
        <v>Low</v>
      </c>
      <c r="M20" s="2" t="str">
        <f t="shared" si="2"/>
        <v>Low</v>
      </c>
      <c r="N20" s="2" t="str">
        <f t="shared" si="3"/>
        <v>No</v>
      </c>
      <c r="O20" s="2" t="str">
        <f t="shared" si="4"/>
        <v>No</v>
      </c>
      <c r="P20" s="2" t="b">
        <f t="shared" si="5"/>
        <v>0</v>
      </c>
    </row>
    <row r="21" spans="1:16" x14ac:dyDescent="0.3">
      <c r="A21" s="6" t="s">
        <v>72</v>
      </c>
      <c r="B21" s="6" t="s">
        <v>73</v>
      </c>
      <c r="C21" s="6" t="s">
        <v>13</v>
      </c>
      <c r="D21" s="6" t="s">
        <v>19</v>
      </c>
      <c r="E21" s="6">
        <v>52000</v>
      </c>
      <c r="F21" s="6">
        <v>3900</v>
      </c>
      <c r="G21" s="6">
        <v>4</v>
      </c>
      <c r="H21" s="7">
        <v>44329</v>
      </c>
      <c r="I21" s="8" t="s">
        <v>74</v>
      </c>
      <c r="J21" s="4"/>
      <c r="K21" s="2" t="b">
        <f t="shared" si="1"/>
        <v>1</v>
      </c>
      <c r="L21" s="2" t="str">
        <f t="shared" si="6"/>
        <v>Low</v>
      </c>
      <c r="M21" s="2" t="str">
        <f t="shared" si="2"/>
        <v>Low</v>
      </c>
      <c r="N21" s="2" t="str">
        <f t="shared" si="3"/>
        <v>No</v>
      </c>
      <c r="O21" s="2" t="str">
        <f t="shared" si="4"/>
        <v>No</v>
      </c>
      <c r="P21" s="2" t="b">
        <f t="shared" si="5"/>
        <v>0</v>
      </c>
    </row>
    <row r="22" spans="1:16" x14ac:dyDescent="0.3">
      <c r="A22" s="6" t="s">
        <v>75</v>
      </c>
      <c r="B22" s="6" t="s">
        <v>76</v>
      </c>
      <c r="C22" s="6" t="s">
        <v>23</v>
      </c>
      <c r="D22" s="6" t="s">
        <v>28</v>
      </c>
      <c r="E22" s="6">
        <v>71000</v>
      </c>
      <c r="F22" s="6">
        <v>7800</v>
      </c>
      <c r="G22" s="6">
        <v>5</v>
      </c>
      <c r="H22" s="7">
        <v>43458</v>
      </c>
      <c r="I22" s="8" t="s">
        <v>77</v>
      </c>
      <c r="J22" s="4"/>
      <c r="K22" s="2" t="b">
        <f t="shared" si="1"/>
        <v>1</v>
      </c>
      <c r="L22" s="2" t="str">
        <f t="shared" si="6"/>
        <v>Good</v>
      </c>
      <c r="M22" s="2" t="str">
        <f t="shared" si="2"/>
        <v>Good</v>
      </c>
      <c r="N22" s="2" t="str">
        <f t="shared" si="3"/>
        <v>No</v>
      </c>
      <c r="O22" s="2" t="str">
        <f t="shared" si="4"/>
        <v>Yes</v>
      </c>
      <c r="P22" s="2" t="b">
        <f t="shared" si="5"/>
        <v>1</v>
      </c>
    </row>
    <row r="23" spans="1:16" x14ac:dyDescent="0.3">
      <c r="E23" s="2">
        <f>SUM(E3:E22)</f>
        <v>1143000</v>
      </c>
      <c r="F23" s="2">
        <f>SUM(F3:F22)</f>
        <v>97800</v>
      </c>
    </row>
  </sheetData>
  <sortState ref="A3:I22">
    <sortCondition ref="A3:A22"/>
  </sortState>
  <mergeCells count="1">
    <mergeCell ref="A1:I1"/>
  </mergeCells>
  <conditionalFormatting sqref="K2:K22">
    <cfRule type="containsText" dxfId="1" priority="1" operator="containsText" text="TRUE">
      <formula>NOT(ISERROR(SEARCH("TRUE",K2)))</formula>
    </cfRule>
    <cfRule type="containsText" dxfId="0" priority="2" operator="containsText" text="FALSE">
      <formula>NOT(ISERROR(SEARCH("FALSE",K2)))</formula>
    </cfRule>
  </conditionalFormatting>
  <hyperlinks>
    <hyperlink ref="I3" r:id="rId1" display="mailto:john.smith@email.com"/>
    <hyperlink ref="I4" r:id="rId2" display="mailto:sara.khan@email.com"/>
    <hyperlink ref="I5" r:id="rId3" display="mailto:mike.j@email.com"/>
    <hyperlink ref="I6" r:id="rId4" display="mailto:emily.d@email.com"/>
    <hyperlink ref="I7" r:id="rId5" display="mailto:raj.patel@email.com"/>
    <hyperlink ref="I8" r:id="rId6" display="mailto:anna.lee@email.com"/>
    <hyperlink ref="I9" r:id="rId7" display="mailto:chris.b@email.com"/>
    <hyperlink ref="I10" r:id="rId8" display="mailto:david.w@email.com"/>
    <hyperlink ref="I11" r:id="rId9" display="mailto:lisa.t@email.com"/>
    <hyperlink ref="I12" r:id="rId10" display="mailto:tom.a@email.com"/>
    <hyperlink ref="I13" r:id="rId11" display="mailto:nina.g@email.com"/>
    <hyperlink ref="I14" r:id="rId12" display="mailto:alex.m@email.com"/>
    <hyperlink ref="I15" r:id="rId13" display="mailto:kevin.w@email.com"/>
    <hyperlink ref="I16" r:id="rId14" display="mailto:priya.s@email.com"/>
    <hyperlink ref="I17" r:id="rId15" display="mailto:daniel.c@email.com"/>
    <hyperlink ref="I18" r:id="rId16" display="mailto:sophia.l@email.com"/>
    <hyperlink ref="I19" r:id="rId17" display="mailto:james.w@email.com"/>
    <hyperlink ref="I20" r:id="rId18" display="mailto:olivia.h@email.com"/>
    <hyperlink ref="I21" r:id="rId19" display="mailto:ethan.a@email.com"/>
    <hyperlink ref="I22" r:id="rId20" display="mailto:chloe.y@e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8" sqref="C8:K8"/>
    </sheetView>
  </sheetViews>
  <sheetFormatPr defaultRowHeight="14.4" x14ac:dyDescent="0.3"/>
  <cols>
    <col min="1" max="1" width="7.44140625" style="2" bestFit="1" customWidth="1"/>
    <col min="2" max="2" width="10.77734375" style="2" bestFit="1" customWidth="1"/>
    <col min="3" max="3" width="15.33203125" style="2" bestFit="1" customWidth="1"/>
    <col min="4" max="4" width="17.88671875" style="2" bestFit="1" customWidth="1"/>
    <col min="5" max="5" width="18.5546875" style="2" bestFit="1" customWidth="1"/>
    <col min="6" max="6" width="17.44140625" style="2" bestFit="1" customWidth="1"/>
    <col min="7" max="7" width="16.88671875" style="2" bestFit="1" customWidth="1"/>
    <col min="8" max="8" width="19.44140625" style="2" bestFit="1" customWidth="1"/>
    <col min="9" max="9" width="17.77734375" style="2" bestFit="1" customWidth="1"/>
    <col min="10" max="10" width="16.77734375" style="2" bestFit="1" customWidth="1"/>
    <col min="11" max="11" width="11.109375" style="2" bestFit="1" customWidth="1"/>
    <col min="12" max="16384" width="8.88671875" style="2"/>
  </cols>
  <sheetData>
    <row r="1" spans="1:11" x14ac:dyDescent="0.3">
      <c r="A1" s="23" t="s">
        <v>95</v>
      </c>
      <c r="B1" s="20" t="s">
        <v>2</v>
      </c>
      <c r="C1" s="3" t="s">
        <v>11</v>
      </c>
      <c r="D1" s="3" t="s">
        <v>16</v>
      </c>
      <c r="E1" s="3" t="s">
        <v>21</v>
      </c>
      <c r="F1" s="3" t="s">
        <v>26</v>
      </c>
      <c r="G1" s="3" t="s">
        <v>30</v>
      </c>
      <c r="H1" s="3" t="s">
        <v>33</v>
      </c>
      <c r="I1" s="3" t="s">
        <v>36</v>
      </c>
      <c r="J1" s="3" t="s">
        <v>39</v>
      </c>
      <c r="K1" s="16" t="s">
        <v>88</v>
      </c>
    </row>
    <row r="2" spans="1:11" x14ac:dyDescent="0.3">
      <c r="A2" s="23"/>
      <c r="B2" s="20" t="s">
        <v>3</v>
      </c>
      <c r="C2" s="3" t="s">
        <v>12</v>
      </c>
      <c r="D2" s="3" t="s">
        <v>17</v>
      </c>
      <c r="E2" s="3" t="s">
        <v>22</v>
      </c>
      <c r="F2" s="3" t="s">
        <v>27</v>
      </c>
      <c r="G2" s="3" t="s">
        <v>31</v>
      </c>
      <c r="H2" s="3" t="s">
        <v>34</v>
      </c>
      <c r="I2" s="3" t="s">
        <v>37</v>
      </c>
      <c r="J2" s="3" t="s">
        <v>40</v>
      </c>
      <c r="K2" s="16" t="s">
        <v>89</v>
      </c>
    </row>
    <row r="3" spans="1:11" x14ac:dyDescent="0.3">
      <c r="A3" s="23"/>
      <c r="B3" s="20" t="s">
        <v>78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3" t="s">
        <v>0</v>
      </c>
      <c r="J3" s="3" t="s">
        <v>0</v>
      </c>
      <c r="K3" s="16" t="s">
        <v>0</v>
      </c>
    </row>
    <row r="4" spans="1:11" x14ac:dyDescent="0.3">
      <c r="A4" s="23"/>
      <c r="B4" s="20" t="s">
        <v>79</v>
      </c>
      <c r="C4" s="3" t="s">
        <v>13</v>
      </c>
      <c r="D4" s="3" t="s">
        <v>18</v>
      </c>
      <c r="E4" s="3" t="s">
        <v>23</v>
      </c>
      <c r="F4" s="3" t="s">
        <v>13</v>
      </c>
      <c r="G4" s="3" t="s">
        <v>23</v>
      </c>
      <c r="H4" s="3" t="s">
        <v>18</v>
      </c>
      <c r="I4" s="3" t="s">
        <v>13</v>
      </c>
      <c r="J4" s="3" t="s">
        <v>23</v>
      </c>
      <c r="K4" s="16" t="s">
        <v>23</v>
      </c>
    </row>
    <row r="5" spans="1:11" x14ac:dyDescent="0.3">
      <c r="A5" s="23"/>
      <c r="B5" s="20" t="s">
        <v>90</v>
      </c>
    </row>
    <row r="7" spans="1:11" x14ac:dyDescent="0.3">
      <c r="B7" s="5" t="s">
        <v>2</v>
      </c>
      <c r="C7" s="2" t="e">
        <f>HLOOKUP(C$1,$B$12:$J$20,1,FALSE)</f>
        <v>#N/A</v>
      </c>
      <c r="D7" s="2" t="str">
        <f t="shared" ref="D7:K7" si="0">HLOOKUP(D$1,$B$12:$J$20,1,FALSE)</f>
        <v>E002</v>
      </c>
      <c r="E7" s="2" t="e">
        <f t="shared" si="0"/>
        <v>#N/A</v>
      </c>
      <c r="F7" s="2" t="e">
        <f t="shared" si="0"/>
        <v>#N/A</v>
      </c>
      <c r="G7" s="2" t="e">
        <f t="shared" si="0"/>
        <v>#N/A</v>
      </c>
      <c r="H7" s="2" t="str">
        <f t="shared" si="0"/>
        <v>E006</v>
      </c>
      <c r="I7" s="2" t="str">
        <f t="shared" si="0"/>
        <v>E007</v>
      </c>
      <c r="J7" s="2" t="e">
        <f t="shared" si="0"/>
        <v>#N/A</v>
      </c>
      <c r="K7" s="2" t="e">
        <f t="shared" si="0"/>
        <v>#N/A</v>
      </c>
    </row>
    <row r="8" spans="1:11" x14ac:dyDescent="0.3">
      <c r="B8" s="2" t="s">
        <v>90</v>
      </c>
      <c r="C8" s="2" t="e">
        <f>HLOOKUP(C$1,$B$12:$J$20,9,FALSE)</f>
        <v>#N/A</v>
      </c>
      <c r="D8" s="2" t="str">
        <f t="shared" ref="D8:K8" si="1">HLOOKUP(D$1,$B$12:$J$20,9,FALSE)</f>
        <v>sara.khan@email.com</v>
      </c>
      <c r="E8" s="2" t="e">
        <f t="shared" si="1"/>
        <v>#N/A</v>
      </c>
      <c r="F8" s="2" t="e">
        <f t="shared" si="1"/>
        <v>#N/A</v>
      </c>
      <c r="G8" s="2" t="e">
        <f t="shared" si="1"/>
        <v>#N/A</v>
      </c>
      <c r="H8" s="2" t="str">
        <f t="shared" si="1"/>
        <v>anna.lee@email.com</v>
      </c>
      <c r="I8" s="2" t="str">
        <f t="shared" si="1"/>
        <v>chris.b@email.com</v>
      </c>
      <c r="J8" s="2" t="e">
        <f t="shared" si="1"/>
        <v>#N/A</v>
      </c>
      <c r="K8" s="2" t="e">
        <f t="shared" si="1"/>
        <v>#N/A</v>
      </c>
    </row>
    <row r="12" spans="1:11" x14ac:dyDescent="0.3">
      <c r="A12" s="24" t="s">
        <v>96</v>
      </c>
      <c r="B12" s="5" t="s">
        <v>2</v>
      </c>
      <c r="C12" s="6" t="s">
        <v>42</v>
      </c>
      <c r="D12" s="6" t="s">
        <v>60</v>
      </c>
      <c r="E12" s="6" t="s">
        <v>33</v>
      </c>
      <c r="F12" s="6" t="s">
        <v>69</v>
      </c>
      <c r="G12" s="6" t="s">
        <v>51</v>
      </c>
      <c r="H12" s="6" t="s">
        <v>16</v>
      </c>
      <c r="I12" s="6" t="s">
        <v>72</v>
      </c>
      <c r="J12" s="6" t="s">
        <v>36</v>
      </c>
    </row>
    <row r="13" spans="1:11" x14ac:dyDescent="0.3">
      <c r="A13" s="24"/>
      <c r="B13" s="5" t="s">
        <v>3</v>
      </c>
      <c r="C13" s="6" t="s">
        <v>43</v>
      </c>
      <c r="D13" s="6" t="s">
        <v>61</v>
      </c>
      <c r="E13" s="6" t="s">
        <v>34</v>
      </c>
      <c r="F13" s="6" t="s">
        <v>70</v>
      </c>
      <c r="G13" s="6" t="s">
        <v>52</v>
      </c>
      <c r="H13" s="6" t="s">
        <v>17</v>
      </c>
      <c r="I13" s="6" t="s">
        <v>73</v>
      </c>
      <c r="J13" s="6" t="s">
        <v>37</v>
      </c>
    </row>
    <row r="14" spans="1:11" x14ac:dyDescent="0.3">
      <c r="A14" s="24"/>
      <c r="B14" s="5" t="s">
        <v>4</v>
      </c>
      <c r="C14" s="6" t="s">
        <v>18</v>
      </c>
      <c r="D14" s="6" t="s">
        <v>18</v>
      </c>
      <c r="E14" s="6" t="s">
        <v>18</v>
      </c>
      <c r="F14" s="6" t="s">
        <v>18</v>
      </c>
      <c r="G14" s="6" t="s">
        <v>18</v>
      </c>
      <c r="H14" s="6" t="s">
        <v>18</v>
      </c>
      <c r="I14" s="6" t="s">
        <v>13</v>
      </c>
      <c r="J14" s="6" t="s">
        <v>13</v>
      </c>
    </row>
    <row r="15" spans="1:11" x14ac:dyDescent="0.3">
      <c r="A15" s="24"/>
      <c r="B15" s="5" t="s">
        <v>6</v>
      </c>
      <c r="C15" s="6">
        <v>46000</v>
      </c>
      <c r="D15" s="6">
        <v>45000</v>
      </c>
      <c r="E15" s="6">
        <v>47000</v>
      </c>
      <c r="F15" s="6">
        <v>47000</v>
      </c>
      <c r="G15" s="6">
        <v>49000</v>
      </c>
      <c r="H15" s="6">
        <v>48000</v>
      </c>
      <c r="I15" s="6">
        <v>52000</v>
      </c>
      <c r="J15" s="6">
        <v>51000</v>
      </c>
    </row>
    <row r="16" spans="1:11" x14ac:dyDescent="0.3">
      <c r="A16" s="24"/>
      <c r="B16" s="5" t="s">
        <v>7</v>
      </c>
      <c r="C16" s="6">
        <v>2000</v>
      </c>
      <c r="D16" s="6">
        <v>2200</v>
      </c>
      <c r="E16" s="6">
        <v>2500</v>
      </c>
      <c r="F16" s="6">
        <v>2600</v>
      </c>
      <c r="G16" s="6">
        <v>2800</v>
      </c>
      <c r="H16" s="6">
        <v>3000</v>
      </c>
      <c r="I16" s="6">
        <v>3900</v>
      </c>
      <c r="J16" s="6">
        <v>4000</v>
      </c>
    </row>
    <row r="17" spans="1:10" x14ac:dyDescent="0.3">
      <c r="A17" s="24"/>
      <c r="B17" s="5" t="s">
        <v>8</v>
      </c>
      <c r="C17" s="6">
        <v>2</v>
      </c>
      <c r="D17" s="6">
        <v>2</v>
      </c>
      <c r="E17" s="6">
        <v>3</v>
      </c>
      <c r="F17" s="6">
        <v>3</v>
      </c>
      <c r="G17" s="6">
        <v>3</v>
      </c>
      <c r="H17" s="6">
        <v>3</v>
      </c>
      <c r="I17" s="6">
        <v>4</v>
      </c>
      <c r="J17" s="6">
        <v>4</v>
      </c>
    </row>
    <row r="18" spans="1:10" x14ac:dyDescent="0.3">
      <c r="A18" s="24"/>
      <c r="B18" s="5" t="s">
        <v>9</v>
      </c>
      <c r="C18" s="7">
        <v>44668</v>
      </c>
      <c r="D18" s="7">
        <v>44448</v>
      </c>
      <c r="E18" s="7">
        <v>44359</v>
      </c>
      <c r="F18" s="7">
        <v>44620</v>
      </c>
      <c r="G18" s="7">
        <v>44115</v>
      </c>
      <c r="H18" s="7">
        <v>44022</v>
      </c>
      <c r="I18" s="7">
        <v>44329</v>
      </c>
      <c r="J18" s="7">
        <v>43886</v>
      </c>
    </row>
    <row r="19" spans="1:10" x14ac:dyDescent="0.3">
      <c r="A19" s="24"/>
      <c r="B19" s="5" t="s">
        <v>5</v>
      </c>
      <c r="C19" s="6" t="s">
        <v>14</v>
      </c>
      <c r="D19" s="6" t="s">
        <v>19</v>
      </c>
      <c r="E19" s="6" t="s">
        <v>24</v>
      </c>
      <c r="F19" s="6" t="s">
        <v>24</v>
      </c>
      <c r="G19" s="6" t="s">
        <v>28</v>
      </c>
      <c r="H19" s="6" t="s">
        <v>19</v>
      </c>
      <c r="I19" s="6" t="s">
        <v>19</v>
      </c>
      <c r="J19" s="6" t="s">
        <v>19</v>
      </c>
    </row>
    <row r="20" spans="1:10" x14ac:dyDescent="0.3">
      <c r="A20" s="24"/>
      <c r="B20" s="5" t="s">
        <v>10</v>
      </c>
      <c r="C20" s="8" t="s">
        <v>44</v>
      </c>
      <c r="D20" s="8" t="s">
        <v>62</v>
      </c>
      <c r="E20" s="8" t="s">
        <v>35</v>
      </c>
      <c r="F20" s="8" t="s">
        <v>71</v>
      </c>
      <c r="G20" s="8" t="s">
        <v>53</v>
      </c>
      <c r="H20" s="8" t="s">
        <v>20</v>
      </c>
      <c r="I20" s="8" t="s">
        <v>74</v>
      </c>
      <c r="J20" s="8" t="s">
        <v>38</v>
      </c>
    </row>
    <row r="21" spans="1:10" x14ac:dyDescent="0.3">
      <c r="A21" s="3"/>
    </row>
    <row r="23" spans="1:10" ht="31.2" x14ac:dyDescent="0.6">
      <c r="G23" s="9"/>
    </row>
  </sheetData>
  <mergeCells count="2">
    <mergeCell ref="A1:A5"/>
    <mergeCell ref="A12:A20"/>
  </mergeCells>
  <hyperlinks>
    <hyperlink ref="H20" r:id="rId1" display="mailto:sara.khan@email.com"/>
    <hyperlink ref="E20" r:id="rId2" display="mailto:anna.lee@email.com"/>
    <hyperlink ref="J20" r:id="rId3" display="mailto:chris.b@email.com"/>
    <hyperlink ref="C20" r:id="rId4" display="mailto:lisa.t@email.com"/>
    <hyperlink ref="G20" r:id="rId5" display="mailto:alex.m@email.com"/>
    <hyperlink ref="D20" r:id="rId6" display="mailto:daniel.c@email.com"/>
    <hyperlink ref="F20" r:id="rId7" display="mailto:olivia.h@email.com"/>
    <hyperlink ref="I20" r:id="rId8" display="mailto:ethan.a@email.com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VloochpSameSheet</vt:lpstr>
      <vt:lpstr>VloochpDifferetSheet</vt:lpstr>
      <vt:lpstr>VloochpDifferetWorkBook</vt:lpstr>
      <vt:lpstr>Table_02</vt:lpstr>
      <vt:lpstr>HloockUp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2026-07-07T14:44:27Z</dcterms:modified>
</cp:coreProperties>
</file>