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4.Advanced Tools &amp; Automation\3.StringFunctions\"/>
    </mc:Choice>
  </mc:AlternateContent>
  <bookViews>
    <workbookView xWindow="0" yWindow="0" windowWidth="23040" windowHeight="9072" activeTab="6"/>
  </bookViews>
  <sheets>
    <sheet name="Imp String Functions" sheetId="20" r:id="rId1"/>
    <sheet name="Basic" sheetId="21" r:id="rId2"/>
    <sheet name="Len|Find|Search" sheetId="22" r:id="rId3"/>
    <sheet name="Text|Value|exact" sheetId="23" r:id="rId4"/>
    <sheet name="Replace" sheetId="25" r:id="rId5"/>
    <sheet name="Left|Right" sheetId="24" r:id="rId6"/>
    <sheet name="Mid." sheetId="16" r:id="rId7"/>
    <sheet name="Data-01" sheetId="1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" i="16" l="1"/>
  <c r="T9" i="16"/>
  <c r="T8" i="16"/>
  <c r="T7" i="16"/>
  <c r="T6" i="16"/>
  <c r="T5" i="16"/>
  <c r="T4" i="16"/>
  <c r="R4" i="16"/>
  <c r="Q4" i="16"/>
  <c r="Q5" i="16"/>
  <c r="R5" i="16"/>
  <c r="Q6" i="16"/>
  <c r="R6" i="16"/>
  <c r="Q7" i="16"/>
  <c r="R7" i="16"/>
  <c r="Q8" i="16"/>
  <c r="S8" i="16" s="1"/>
  <c r="R8" i="16"/>
  <c r="Q9" i="16"/>
  <c r="R9" i="16"/>
  <c r="Q10" i="16"/>
  <c r="R10" i="16"/>
  <c r="S10" i="16" s="1"/>
  <c r="S5" i="16"/>
  <c r="S6" i="16"/>
  <c r="S7" i="16"/>
  <c r="S9" i="16"/>
  <c r="O4" i="16"/>
  <c r="L4" i="16"/>
  <c r="Y10" i="16"/>
  <c r="Y9" i="16"/>
  <c r="Y8" i="16"/>
  <c r="Y7" i="16"/>
  <c r="Y6" i="16"/>
  <c r="Y5" i="16"/>
  <c r="Y4" i="16"/>
  <c r="M4" i="16"/>
  <c r="O10" i="16"/>
  <c r="O9" i="16"/>
  <c r="O8" i="16"/>
  <c r="O7" i="16"/>
  <c r="O6" i="16"/>
  <c r="O5" i="16"/>
  <c r="L10" i="16"/>
  <c r="L9" i="16"/>
  <c r="L8" i="16"/>
  <c r="L7" i="16"/>
  <c r="L6" i="16"/>
  <c r="L5" i="16"/>
  <c r="M10" i="16"/>
  <c r="M9" i="16"/>
  <c r="N9" i="16" s="1"/>
  <c r="M8" i="16"/>
  <c r="M7" i="16"/>
  <c r="M6" i="16"/>
  <c r="M5" i="16"/>
  <c r="J10" i="16"/>
  <c r="K10" i="16" s="1"/>
  <c r="J9" i="16"/>
  <c r="K9" i="16" s="1"/>
  <c r="J8" i="16"/>
  <c r="K8" i="16" s="1"/>
  <c r="J7" i="16"/>
  <c r="K7" i="16" s="1"/>
  <c r="J6" i="16"/>
  <c r="K6" i="16" s="1"/>
  <c r="J5" i="16"/>
  <c r="K5" i="16" s="1"/>
  <c r="J4" i="16"/>
  <c r="K4" i="16" s="1"/>
  <c r="S4" i="16" l="1"/>
  <c r="N4" i="16"/>
  <c r="P4" i="16" s="1"/>
  <c r="N10" i="16"/>
  <c r="P10" i="16" s="1"/>
  <c r="N5" i="16"/>
  <c r="P5" i="16" s="1"/>
  <c r="N6" i="16"/>
  <c r="P6" i="16" s="1"/>
  <c r="N7" i="16"/>
  <c r="P7" i="16" s="1"/>
  <c r="P9" i="16"/>
  <c r="N8" i="16"/>
  <c r="P8" i="16" s="1"/>
  <c r="AA4" i="16"/>
  <c r="AB4" i="16" s="1"/>
  <c r="Z4" i="16"/>
  <c r="AH5" i="16"/>
  <c r="AH10" i="16"/>
  <c r="AH9" i="16"/>
  <c r="AH8" i="16"/>
  <c r="AH7" i="16"/>
  <c r="AH6" i="16"/>
  <c r="AH4" i="16"/>
  <c r="AF10" i="16"/>
  <c r="AF9" i="16"/>
  <c r="AF8" i="16"/>
  <c r="AF7" i="16"/>
  <c r="AF6" i="16"/>
  <c r="AF5" i="16"/>
  <c r="AF4" i="16"/>
  <c r="AE10" i="16"/>
  <c r="AE9" i="16"/>
  <c r="AE8" i="16"/>
  <c r="AE7" i="16"/>
  <c r="AE6" i="16"/>
  <c r="AE5" i="16"/>
  <c r="AE4" i="16"/>
  <c r="AC10" i="16"/>
  <c r="AC9" i="16"/>
  <c r="AC8" i="16"/>
  <c r="AC7" i="16"/>
  <c r="AC6" i="16"/>
  <c r="AC5" i="16"/>
  <c r="AC4" i="16"/>
  <c r="AD10" i="16"/>
  <c r="AD9" i="16"/>
  <c r="AD8" i="16"/>
  <c r="AD7" i="16"/>
  <c r="AD6" i="16"/>
  <c r="AD5" i="16"/>
  <c r="AD4" i="16"/>
  <c r="L5" i="25"/>
  <c r="K24" i="24"/>
  <c r="K23" i="24"/>
  <c r="K22" i="24"/>
  <c r="K21" i="24"/>
  <c r="K20" i="24"/>
  <c r="K19" i="24"/>
  <c r="K18" i="24"/>
  <c r="K17" i="24"/>
  <c r="K16" i="24"/>
  <c r="K15" i="24"/>
  <c r="K14" i="24"/>
  <c r="K13" i="24"/>
  <c r="K12" i="24"/>
  <c r="K11" i="24"/>
  <c r="K10" i="24"/>
  <c r="K9" i="24"/>
  <c r="K8" i="24"/>
  <c r="K7" i="24"/>
  <c r="K6" i="24"/>
  <c r="K5" i="24"/>
  <c r="I5" i="24"/>
  <c r="J5" i="24" s="1"/>
  <c r="I24" i="24"/>
  <c r="J24" i="24" s="1"/>
  <c r="I23" i="24"/>
  <c r="J23" i="24" s="1"/>
  <c r="I22" i="24"/>
  <c r="J22" i="24" s="1"/>
  <c r="I21" i="24"/>
  <c r="J21" i="24" s="1"/>
  <c r="I20" i="24"/>
  <c r="J20" i="24" s="1"/>
  <c r="I19" i="24"/>
  <c r="J19" i="24" s="1"/>
  <c r="I18" i="24"/>
  <c r="J18" i="24" s="1"/>
  <c r="I17" i="24"/>
  <c r="J17" i="24" s="1"/>
  <c r="I16" i="24"/>
  <c r="J16" i="24" s="1"/>
  <c r="I15" i="24"/>
  <c r="J15" i="24" s="1"/>
  <c r="I14" i="24"/>
  <c r="J14" i="24" s="1"/>
  <c r="I13" i="24"/>
  <c r="J13" i="24" s="1"/>
  <c r="I12" i="24"/>
  <c r="J12" i="24" s="1"/>
  <c r="I11" i="24"/>
  <c r="J11" i="24" s="1"/>
  <c r="I10" i="24"/>
  <c r="J10" i="24" s="1"/>
  <c r="I9" i="24"/>
  <c r="J9" i="24" s="1"/>
  <c r="I8" i="24"/>
  <c r="J8" i="24" s="1"/>
  <c r="I7" i="24"/>
  <c r="J7" i="24" s="1"/>
  <c r="I6" i="24"/>
  <c r="J6" i="24" s="1"/>
  <c r="P24" i="24"/>
  <c r="P23" i="24"/>
  <c r="P22" i="24"/>
  <c r="P21" i="24"/>
  <c r="P20" i="24"/>
  <c r="P19" i="24"/>
  <c r="P18" i="24"/>
  <c r="P17" i="24"/>
  <c r="P16" i="24"/>
  <c r="P15" i="24"/>
  <c r="P14" i="24"/>
  <c r="P13" i="24"/>
  <c r="P12" i="24"/>
  <c r="P11" i="24"/>
  <c r="P10" i="24"/>
  <c r="P9" i="24"/>
  <c r="P8" i="24"/>
  <c r="P7" i="24"/>
  <c r="P6" i="24"/>
  <c r="P5" i="24"/>
  <c r="M5" i="24"/>
  <c r="L5" i="24"/>
  <c r="L24" i="24"/>
  <c r="L23" i="24"/>
  <c r="L22" i="24"/>
  <c r="L21" i="24"/>
  <c r="L20" i="24"/>
  <c r="L19" i="24"/>
  <c r="L18" i="24"/>
  <c r="L17" i="24"/>
  <c r="L16" i="24"/>
  <c r="L15" i="24"/>
  <c r="L14" i="24"/>
  <c r="L13" i="24"/>
  <c r="L12" i="24"/>
  <c r="L11" i="24"/>
  <c r="L10" i="24"/>
  <c r="L9" i="24"/>
  <c r="L8" i="24"/>
  <c r="L7" i="24"/>
  <c r="L6" i="24"/>
  <c r="M24" i="24"/>
  <c r="M23" i="24"/>
  <c r="M22" i="24"/>
  <c r="M21" i="24"/>
  <c r="M20" i="24"/>
  <c r="M19" i="24"/>
  <c r="M18" i="24"/>
  <c r="M17" i="24"/>
  <c r="M16" i="24"/>
  <c r="M15" i="24"/>
  <c r="M14" i="24"/>
  <c r="M13" i="24"/>
  <c r="M12" i="24"/>
  <c r="M11" i="24"/>
  <c r="M10" i="24"/>
  <c r="M9" i="24"/>
  <c r="M8" i="24"/>
  <c r="M7" i="24"/>
  <c r="M6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L6" i="22"/>
  <c r="N6" i="22"/>
  <c r="O25" i="22"/>
  <c r="N25" i="22"/>
  <c r="O24" i="22"/>
  <c r="N24" i="22"/>
  <c r="O23" i="22"/>
  <c r="N23" i="22"/>
  <c r="O22" i="22"/>
  <c r="N22" i="22"/>
  <c r="O21" i="22"/>
  <c r="N21" i="22"/>
  <c r="O20" i="22"/>
  <c r="N20" i="22"/>
  <c r="O19" i="22"/>
  <c r="N19" i="22"/>
  <c r="O18" i="22"/>
  <c r="N18" i="22"/>
  <c r="O17" i="22"/>
  <c r="N17" i="22"/>
  <c r="O16" i="22"/>
  <c r="N16" i="22"/>
  <c r="O15" i="22"/>
  <c r="N15" i="22"/>
  <c r="O14" i="22"/>
  <c r="N14" i="22"/>
  <c r="O13" i="22"/>
  <c r="N13" i="22"/>
  <c r="O12" i="22"/>
  <c r="N12" i="22"/>
  <c r="O11" i="22"/>
  <c r="N11" i="22"/>
  <c r="O10" i="22"/>
  <c r="N10" i="22"/>
  <c r="O9" i="22"/>
  <c r="N9" i="22"/>
  <c r="O8" i="22"/>
  <c r="N8" i="22"/>
  <c r="O7" i="22"/>
  <c r="N7" i="22"/>
  <c r="O6" i="22"/>
  <c r="M25" i="22"/>
  <c r="M24" i="22"/>
  <c r="M23" i="22"/>
  <c r="M22" i="22"/>
  <c r="M21" i="22"/>
  <c r="M20" i="22"/>
  <c r="M19" i="22"/>
  <c r="M18" i="22"/>
  <c r="M17" i="22"/>
  <c r="M16" i="22"/>
  <c r="M15" i="22"/>
  <c r="M14" i="22"/>
  <c r="M13" i="22"/>
  <c r="M12" i="22"/>
  <c r="M11" i="22"/>
  <c r="M10" i="22"/>
  <c r="M9" i="22"/>
  <c r="M8" i="22"/>
  <c r="M7" i="22"/>
  <c r="M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K7" i="22"/>
  <c r="K6" i="22"/>
  <c r="P6" i="23"/>
  <c r="P5" i="23"/>
  <c r="O6" i="23"/>
  <c r="O5" i="23"/>
  <c r="N24" i="23"/>
  <c r="N23" i="23"/>
  <c r="N22" i="23"/>
  <c r="N21" i="23"/>
  <c r="N20" i="23"/>
  <c r="N19" i="23"/>
  <c r="N18" i="23"/>
  <c r="N17" i="23"/>
  <c r="N16" i="23"/>
  <c r="N15" i="23"/>
  <c r="N14" i="23"/>
  <c r="N13" i="23"/>
  <c r="N12" i="23"/>
  <c r="N11" i="23"/>
  <c r="N10" i="23"/>
  <c r="N9" i="23"/>
  <c r="N8" i="23"/>
  <c r="N7" i="23"/>
  <c r="N6" i="23"/>
  <c r="N5" i="23"/>
  <c r="M5" i="23"/>
  <c r="N5" i="24" l="1"/>
  <c r="O5" i="24" s="1"/>
  <c r="N9" i="24"/>
  <c r="O9" i="24" s="1"/>
  <c r="N17" i="24"/>
  <c r="O17" i="24" s="1"/>
  <c r="N12" i="24"/>
  <c r="O12" i="24" s="1"/>
  <c r="N20" i="24"/>
  <c r="O20" i="24" s="1"/>
  <c r="N8" i="24"/>
  <c r="O8" i="24" s="1"/>
  <c r="N16" i="24"/>
  <c r="O16" i="24" s="1"/>
  <c r="N24" i="24"/>
  <c r="O24" i="24" s="1"/>
  <c r="N10" i="24"/>
  <c r="O10" i="24" s="1"/>
  <c r="N18" i="24"/>
  <c r="O18" i="24" s="1"/>
  <c r="N11" i="24"/>
  <c r="O11" i="24" s="1"/>
  <c r="N19" i="24"/>
  <c r="O19" i="24" s="1"/>
  <c r="N7" i="24"/>
  <c r="O7" i="24" s="1"/>
  <c r="N15" i="24"/>
  <c r="O15" i="24" s="1"/>
  <c r="N23" i="24"/>
  <c r="O23" i="24" s="1"/>
  <c r="N13" i="24"/>
  <c r="O13" i="24" s="1"/>
  <c r="N21" i="24"/>
  <c r="O21" i="24" s="1"/>
  <c r="N6" i="24"/>
  <c r="O6" i="24" s="1"/>
  <c r="N14" i="24"/>
  <c r="O14" i="24" s="1"/>
  <c r="N22" i="24"/>
  <c r="O22" i="24" s="1"/>
  <c r="M24" i="23"/>
  <c r="M23" i="23"/>
  <c r="M22" i="23"/>
  <c r="M21" i="23"/>
  <c r="M20" i="23"/>
  <c r="M19" i="23"/>
  <c r="M18" i="23"/>
  <c r="M17" i="23"/>
  <c r="M16" i="23"/>
  <c r="M15" i="23"/>
  <c r="M14" i="23"/>
  <c r="M13" i="23"/>
  <c r="M12" i="23"/>
  <c r="M11" i="23"/>
  <c r="M10" i="23"/>
  <c r="M9" i="23"/>
  <c r="M8" i="23"/>
  <c r="M7" i="23"/>
  <c r="M6" i="23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Q8" i="21"/>
  <c r="Q7" i="21"/>
  <c r="Q6" i="21"/>
  <c r="Q5" i="21"/>
  <c r="Q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M5" i="21"/>
  <c r="M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P5" i="21" s="1"/>
  <c r="O4" i="21"/>
  <c r="P4" i="21" s="1"/>
  <c r="N23" i="21"/>
  <c r="N22" i="21"/>
  <c r="N21" i="21"/>
  <c r="N20" i="21"/>
  <c r="N19" i="21"/>
  <c r="N18" i="21"/>
  <c r="N17" i="21"/>
  <c r="N16" i="21"/>
  <c r="N15" i="21"/>
  <c r="N14" i="21"/>
  <c r="N13" i="21"/>
  <c r="N12" i="21"/>
  <c r="N11" i="21"/>
  <c r="N10" i="21"/>
  <c r="N9" i="21"/>
  <c r="N8" i="21"/>
  <c r="N7" i="21"/>
  <c r="N6" i="21"/>
  <c r="N5" i="21"/>
  <c r="N4" i="21"/>
  <c r="F26" i="22" l="1"/>
  <c r="G24" i="21"/>
  <c r="F24" i="21"/>
  <c r="P21" i="13" l="1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2" i="13"/>
  <c r="L3" i="13"/>
  <c r="K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P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F22" i="13"/>
  <c r="E22" i="13"/>
</calcChain>
</file>

<file path=xl/sharedStrings.xml><?xml version="1.0" encoding="utf-8"?>
<sst xmlns="http://schemas.openxmlformats.org/spreadsheetml/2006/main" count="1074" uniqueCount="257">
  <si>
    <t>EmpID</t>
  </si>
  <si>
    <t>Name</t>
  </si>
  <si>
    <t>Dept</t>
  </si>
  <si>
    <t>Region</t>
  </si>
  <si>
    <t>Salary</t>
  </si>
  <si>
    <t>Bonus</t>
  </si>
  <si>
    <t>Rating</t>
  </si>
  <si>
    <t>JoinDate</t>
  </si>
  <si>
    <t>Email</t>
  </si>
  <si>
    <t>E001</t>
  </si>
  <si>
    <t>John Smith</t>
  </si>
  <si>
    <t>Sales</t>
  </si>
  <si>
    <t>East</t>
  </si>
  <si>
    <t>john.smith@email.com</t>
  </si>
  <si>
    <t>E002</t>
  </si>
  <si>
    <t>Sara Khan</t>
  </si>
  <si>
    <t>HR</t>
  </si>
  <si>
    <t>West</t>
  </si>
  <si>
    <t>sara.khan@email.com</t>
  </si>
  <si>
    <t>E003</t>
  </si>
  <si>
    <t>Mike Johnson</t>
  </si>
  <si>
    <t>IT</t>
  </si>
  <si>
    <t>North</t>
  </si>
  <si>
    <t>mike.j@email.com</t>
  </si>
  <si>
    <t>E004</t>
  </si>
  <si>
    <t>Emily Davis</t>
  </si>
  <si>
    <t>South</t>
  </si>
  <si>
    <t>emily.d@email.com</t>
  </si>
  <si>
    <t>E005</t>
  </si>
  <si>
    <t>Raj Patel</t>
  </si>
  <si>
    <t>raj.patel@email.com</t>
  </si>
  <si>
    <t>E006</t>
  </si>
  <si>
    <t>Anna Lee</t>
  </si>
  <si>
    <t>anna.lee@email.com</t>
  </si>
  <si>
    <t>E007</t>
  </si>
  <si>
    <t>Chris Brown</t>
  </si>
  <si>
    <t>chris.b@email.com</t>
  </si>
  <si>
    <t>E008</t>
  </si>
  <si>
    <t>David Wilson</t>
  </si>
  <si>
    <t>david.w@email.com</t>
  </si>
  <si>
    <t>E009</t>
  </si>
  <si>
    <t>Lisa Taylor</t>
  </si>
  <si>
    <t>lisa.t@email.com</t>
  </si>
  <si>
    <t>E010</t>
  </si>
  <si>
    <t>Tom Anderson</t>
  </si>
  <si>
    <t>tom.a@email.com</t>
  </si>
  <si>
    <t>E011</t>
  </si>
  <si>
    <t>Nina Gupta</t>
  </si>
  <si>
    <t>nina.g@email.com</t>
  </si>
  <si>
    <t>E012</t>
  </si>
  <si>
    <t>Alex Martinez</t>
  </si>
  <si>
    <t>alex.m@email.com</t>
  </si>
  <si>
    <t>E013</t>
  </si>
  <si>
    <t>Kevin White</t>
  </si>
  <si>
    <t>kevin.w@email.com</t>
  </si>
  <si>
    <t>E014</t>
  </si>
  <si>
    <t>Priya Sharma</t>
  </si>
  <si>
    <t>priya.s@email.com</t>
  </si>
  <si>
    <t>E015</t>
  </si>
  <si>
    <t>Daniel Clark</t>
  </si>
  <si>
    <t>daniel.c@email.com</t>
  </si>
  <si>
    <t>E016</t>
  </si>
  <si>
    <t>Sophia Lewis</t>
  </si>
  <si>
    <t>sophia.l@email.com</t>
  </si>
  <si>
    <t>E017</t>
  </si>
  <si>
    <t>James Walker</t>
  </si>
  <si>
    <t>james.w@email.com</t>
  </si>
  <si>
    <t>E018</t>
  </si>
  <si>
    <t>Olivia Hall</t>
  </si>
  <si>
    <t>olivia.h@email.com</t>
  </si>
  <si>
    <t>E019</t>
  </si>
  <si>
    <t>Ethan Allen</t>
  </si>
  <si>
    <t>ethan.a@email.com</t>
  </si>
  <si>
    <t>E020</t>
  </si>
  <si>
    <t>Chloe Young</t>
  </si>
  <si>
    <t>chloe.y@email.com</t>
  </si>
  <si>
    <t>IF</t>
  </si>
  <si>
    <t>AND</t>
  </si>
  <si>
    <t>OR</t>
  </si>
  <si>
    <t>NOT</t>
  </si>
  <si>
    <t>IF Basic</t>
  </si>
  <si>
    <t>Nested IF</t>
  </si>
  <si>
    <t>LEFT</t>
  </si>
  <si>
    <t>RIGHT</t>
  </si>
  <si>
    <t>MID</t>
  </si>
  <si>
    <t>LEN</t>
  </si>
  <si>
    <t>CONCAT</t>
  </si>
  <si>
    <t>First Name</t>
  </si>
  <si>
    <t>Lisa</t>
  </si>
  <si>
    <t>Taylor</t>
  </si>
  <si>
    <t>Daniel</t>
  </si>
  <si>
    <t>Clark</t>
  </si>
  <si>
    <t>Anna</t>
  </si>
  <si>
    <t>Lee</t>
  </si>
  <si>
    <t>Olivia</t>
  </si>
  <si>
    <t>Hall</t>
  </si>
  <si>
    <t>Alex</t>
  </si>
  <si>
    <t>Martinez</t>
  </si>
  <si>
    <t>Sara</t>
  </si>
  <si>
    <t>Khan</t>
  </si>
  <si>
    <t>Ethan</t>
  </si>
  <si>
    <t>Allen</t>
  </si>
  <si>
    <t>Chris</t>
  </si>
  <si>
    <t>Brown</t>
  </si>
  <si>
    <t>Tom</t>
  </si>
  <si>
    <t>Anderson</t>
  </si>
  <si>
    <t>Emily</t>
  </si>
  <si>
    <t>Davis</t>
  </si>
  <si>
    <t>Kevin</t>
  </si>
  <si>
    <t>White</t>
  </si>
  <si>
    <t>Sophia</t>
  </si>
  <si>
    <t>Lewis</t>
  </si>
  <si>
    <t>John</t>
  </si>
  <si>
    <t>Smith</t>
  </si>
  <si>
    <t>David</t>
  </si>
  <si>
    <t>Wilson</t>
  </si>
  <si>
    <t>Mike</t>
  </si>
  <si>
    <t>Johnson</t>
  </si>
  <si>
    <t>James</t>
  </si>
  <si>
    <t>Walker</t>
  </si>
  <si>
    <t>Nina</t>
  </si>
  <si>
    <t>Gupta</t>
  </si>
  <si>
    <t>Chloe</t>
  </si>
  <si>
    <t>Young</t>
  </si>
  <si>
    <t>Raj</t>
  </si>
  <si>
    <t>Patel</t>
  </si>
  <si>
    <t>Priya</t>
  </si>
  <si>
    <t>Sharma</t>
  </si>
  <si>
    <t>Last Name</t>
  </si>
  <si>
    <t>Full NAME</t>
  </si>
  <si>
    <t>&amp;</t>
  </si>
  <si>
    <t>FIND</t>
  </si>
  <si>
    <t>mid(start_char,numberChar)</t>
  </si>
  <si>
    <t>Number of Char</t>
  </si>
  <si>
    <t>use elft</t>
  </si>
  <si>
    <t>Homework</t>
  </si>
  <si>
    <t>exctract domain from email</t>
  </si>
  <si>
    <t>LastName</t>
  </si>
  <si>
    <t>Start char</t>
  </si>
  <si>
    <t>numchar</t>
  </si>
  <si>
    <t>Function</t>
  </si>
  <si>
    <t>Purpose</t>
  </si>
  <si>
    <t>Example</t>
  </si>
  <si>
    <t>Result</t>
  </si>
  <si>
    <t>LEFT(text, num_chars)</t>
  </si>
  <si>
    <t>Returns characters from the left</t>
  </si>
  <si>
    <t>Ex</t>
  </si>
  <si>
    <t>RIGHT(text, num_chars)</t>
  </si>
  <si>
    <t>Returns characters from the right</t>
  </si>
  <si>
    <t>cel</t>
  </si>
  <si>
    <t>MID(text, start_num, num_chars)</t>
  </si>
  <si>
    <t>Extracts characters from the middle</t>
  </si>
  <si>
    <t>xce</t>
  </si>
  <si>
    <t>LEN(text)</t>
  </si>
  <si>
    <t>Counts the number of characters</t>
  </si>
  <si>
    <t>CONCAT(text1, text2,...)</t>
  </si>
  <si>
    <t>Joins text strings</t>
  </si>
  <si>
    <t>Hello World</t>
  </si>
  <si>
    <t>UPPER(text)</t>
  </si>
  <si>
    <t>Converts text to uppercase</t>
  </si>
  <si>
    <t>EXCEL</t>
  </si>
  <si>
    <t>LOWER(text)</t>
  </si>
  <si>
    <t>Converts text to lowercase</t>
  </si>
  <si>
    <t>excel</t>
  </si>
  <si>
    <t>PROPER(text)</t>
  </si>
  <si>
    <t>Capitalizes the first letter of each word</t>
  </si>
  <si>
    <t>John Doe</t>
  </si>
  <si>
    <t>TRIM(text)</t>
  </si>
  <si>
    <t>Removes extra spaces</t>
  </si>
  <si>
    <t>REPLACE(old_text, start_num, num_chars, new_text)</t>
  </si>
  <si>
    <t>Replaces part of a string by position</t>
  </si>
  <si>
    <t>aXYZef</t>
  </si>
  <si>
    <t>FIND(find_text, within_text)</t>
  </si>
  <si>
    <t>Finds the position of text (case-sensitive)</t>
  </si>
  <si>
    <t>SEARCH(find_text, within_text)</t>
  </si>
  <si>
    <t>TEXT(value, format_text)</t>
  </si>
  <si>
    <t>Formats a number as text</t>
  </si>
  <si>
    <t>$1,234.50</t>
  </si>
  <si>
    <t>VALUE(text)</t>
  </si>
  <si>
    <t>Converts text to a number</t>
  </si>
  <si>
    <t>EXACT(text1, text2)</t>
  </si>
  <si>
    <t>Compares two text strings (case-sensitive)</t>
  </si>
  <si>
    <t>=LEFT("Excel",2)</t>
  </si>
  <si>
    <t>=RIGHT("Excel",3)</t>
  </si>
  <si>
    <t>=MID("Excel",2,3)</t>
  </si>
  <si>
    <t>=LEN("Excel")</t>
  </si>
  <si>
    <t>=CONCAT("Hello"," ","World")</t>
  </si>
  <si>
    <t>=UPPER("excel")</t>
  </si>
  <si>
    <t>=LOWER("EXCEL")</t>
  </si>
  <si>
    <t>=PROPER("john doe")</t>
  </si>
  <si>
    <t>=TRIM(" Hello World ")</t>
  </si>
  <si>
    <t>=REPLACE("abcdef",2,3,"XYZ")</t>
  </si>
  <si>
    <t>=FIND("c","Excel")</t>
  </si>
  <si>
    <t>=SEARCH("e","Excel")</t>
  </si>
  <si>
    <t>=TEXT(1234.5,"$#,##0.00")</t>
  </si>
  <si>
    <t>=VALUE("123")</t>
  </si>
  <si>
    <t>=EXACT("Excel","excel")</t>
  </si>
  <si>
    <t>Last_Name</t>
  </si>
  <si>
    <t xml:space="preserve">      Lisa Taylor    </t>
  </si>
  <si>
    <t xml:space="preserve">     Daniel Clark     </t>
  </si>
  <si>
    <t>Concat</t>
  </si>
  <si>
    <t>Case Change</t>
  </si>
  <si>
    <t>Remove the additional space</t>
  </si>
  <si>
    <t>Basic</t>
  </si>
  <si>
    <t>start = 1 number_char = 4 , new= "Tom"</t>
  </si>
  <si>
    <t>2</t>
  </si>
  <si>
    <t>3</t>
  </si>
  <si>
    <t>4</t>
  </si>
  <si>
    <t>Hr</t>
  </si>
  <si>
    <t>it will aslo check the values which are case sensitive</t>
  </si>
  <si>
    <t>return the index Number</t>
  </si>
  <si>
    <t>Finds the position of text (not case-insensitive)</t>
  </si>
  <si>
    <t>Search</t>
  </si>
  <si>
    <t>Find</t>
  </si>
  <si>
    <t>=FIND(text,cell,startNumber)</t>
  </si>
  <si>
    <t>Consider Case</t>
  </si>
  <si>
    <t>ignore Case</t>
  </si>
  <si>
    <t>SEARCH</t>
  </si>
  <si>
    <t>Dynamic</t>
  </si>
  <si>
    <t>lengh</t>
  </si>
  <si>
    <t>Last name</t>
  </si>
  <si>
    <t>legth</t>
  </si>
  <si>
    <t>lengh of FirstNAME</t>
  </si>
  <si>
    <t>Length of LastName</t>
  </si>
  <si>
    <t>Static</t>
  </si>
  <si>
    <t>One Formula</t>
  </si>
  <si>
    <r>
      <t>REPLACE(</t>
    </r>
    <r>
      <rPr>
        <b/>
        <sz val="12"/>
        <color theme="1"/>
        <rFont val="Candara"/>
        <family val="2"/>
      </rPr>
      <t>old_text</t>
    </r>
    <r>
      <rPr>
        <sz val="12"/>
        <color theme="1"/>
        <rFont val="Candara"/>
        <family val="2"/>
      </rPr>
      <t xml:space="preserve">, start_num, num_chars, </t>
    </r>
    <r>
      <rPr>
        <b/>
        <sz val="12"/>
        <color theme="1"/>
        <rFont val="Candara"/>
        <family val="2"/>
      </rPr>
      <t>new_text</t>
    </r>
    <r>
      <rPr>
        <sz val="12"/>
        <color theme="1"/>
        <rFont val="Candara"/>
        <family val="2"/>
      </rPr>
      <t>)</t>
    </r>
  </si>
  <si>
    <t>File Name</t>
  </si>
  <si>
    <t>EMP-10254-HR</t>
  </si>
  <si>
    <t>INV-45879-2025</t>
  </si>
  <si>
    <t>ORD-78321-IN</t>
  </si>
  <si>
    <t>CUS-96548-MH</t>
  </si>
  <si>
    <t>PRD-14785-A1</t>
  </si>
  <si>
    <t>TRN-55692-PN</t>
  </si>
  <si>
    <t>STU-88471-CS</t>
  </si>
  <si>
    <t>IDS</t>
  </si>
  <si>
    <t>find @</t>
  </si>
  <si>
    <t>Lisa_Taylor@email.com</t>
  </si>
  <si>
    <t>Daniel_Clark@email.com</t>
  </si>
  <si>
    <t>Anna_Lee@email.com</t>
  </si>
  <si>
    <t>Olivia_Hall@email.com</t>
  </si>
  <si>
    <t>Alex_Martinez@email.com</t>
  </si>
  <si>
    <t>Sara_Khan@email.com</t>
  </si>
  <si>
    <t>Ethan_Allen@email.com</t>
  </si>
  <si>
    <t xml:space="preserve">search _ </t>
  </si>
  <si>
    <t>search @</t>
  </si>
  <si>
    <t>start index</t>
  </si>
  <si>
    <t>number char</t>
  </si>
  <si>
    <t>stard_index</t>
  </si>
  <si>
    <t>end_index(num_char)</t>
  </si>
  <si>
    <r>
      <t>Employee_</t>
    </r>
    <r>
      <rPr>
        <b/>
        <sz val="11"/>
        <color theme="1"/>
        <rFont val="Courier New"/>
        <family val="3"/>
      </rPr>
      <t>List</t>
    </r>
    <r>
      <rPr>
        <sz val="11"/>
        <color theme="1"/>
        <rFont val="Courier New"/>
        <family val="3"/>
      </rPr>
      <t>.xlsx</t>
    </r>
  </si>
  <si>
    <r>
      <t>Sales_</t>
    </r>
    <r>
      <rPr>
        <b/>
        <sz val="11"/>
        <color theme="1"/>
        <rFont val="Courier New"/>
        <family val="3"/>
      </rPr>
      <t>Report2025</t>
    </r>
    <r>
      <rPr>
        <sz val="11"/>
        <color theme="1"/>
        <rFont val="Courier New"/>
        <family val="3"/>
      </rPr>
      <t>.xlsx</t>
    </r>
  </si>
  <si>
    <r>
      <t>Monthly_</t>
    </r>
    <r>
      <rPr>
        <b/>
        <sz val="11"/>
        <color theme="1"/>
        <rFont val="Courier New"/>
        <family val="3"/>
      </rPr>
      <t>Summary</t>
    </r>
    <r>
      <rPr>
        <sz val="11"/>
        <color theme="1"/>
        <rFont val="Courier New"/>
        <family val="3"/>
      </rPr>
      <t>.xls</t>
    </r>
  </si>
  <si>
    <r>
      <t>Project_</t>
    </r>
    <r>
      <rPr>
        <b/>
        <sz val="11"/>
        <color theme="1"/>
        <rFont val="Courier New"/>
        <family val="3"/>
      </rPr>
      <t>Details</t>
    </r>
    <r>
      <rPr>
        <sz val="11"/>
        <color theme="1"/>
        <rFont val="Courier New"/>
        <family val="3"/>
      </rPr>
      <t>.docx</t>
    </r>
  </si>
  <si>
    <r>
      <t>Offer_</t>
    </r>
    <r>
      <rPr>
        <b/>
        <sz val="11"/>
        <color theme="1"/>
        <rFont val="Courier New"/>
        <family val="3"/>
      </rPr>
      <t>Letter</t>
    </r>
    <r>
      <rPr>
        <sz val="11"/>
        <color theme="1"/>
        <rFont val="Courier New"/>
        <family val="3"/>
      </rPr>
      <t>.doc</t>
    </r>
  </si>
  <si>
    <r>
      <t>Company_</t>
    </r>
    <r>
      <rPr>
        <b/>
        <sz val="11"/>
        <color theme="1"/>
        <rFont val="Courier New"/>
        <family val="3"/>
      </rPr>
      <t>Policy</t>
    </r>
    <r>
      <rPr>
        <sz val="11"/>
        <color theme="1"/>
        <rFont val="Courier New"/>
        <family val="3"/>
      </rPr>
      <t>.pdf</t>
    </r>
  </si>
  <si>
    <r>
      <t>Invoice_</t>
    </r>
    <r>
      <rPr>
        <b/>
        <sz val="11"/>
        <color theme="1"/>
        <rFont val="Courier New"/>
        <family val="3"/>
      </rPr>
      <t>1001</t>
    </r>
    <r>
      <rPr>
        <sz val="11"/>
        <color theme="1"/>
        <rFont val="Courier New"/>
        <family val="3"/>
      </rPr>
      <t>.pdf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</si>
</sst>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b/>
      <sz val="12"/>
      <color theme="0"/>
      <name val="Candara"/>
      <family val="2"/>
    </font>
    <font>
      <b/>
      <sz val="12"/>
      <color rgb="FF0070C0"/>
      <name val="Candara"/>
      <family val="2"/>
    </font>
    <font>
      <u/>
      <sz val="12"/>
      <color theme="10"/>
      <name val="Candara"/>
      <family val="2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1"/>
      <color rgb="FF0070C0"/>
      <name val="Courier New"/>
      <family val="3"/>
    </font>
    <font>
      <u/>
      <sz val="11"/>
      <color theme="10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/>
    <xf numFmtId="0" fontId="3" fillId="10" borderId="7" xfId="0" applyFont="1" applyFill="1" applyBorder="1" applyAlignment="1"/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5" fillId="0" borderId="0" xfId="0" applyFont="1" applyAlignment="1"/>
    <xf numFmtId="14" fontId="2" fillId="0" borderId="0" xfId="0" applyNumberFormat="1" applyFont="1" applyAlignment="1">
      <alignment vertical="center"/>
    </xf>
    <xf numFmtId="0" fontId="6" fillId="0" borderId="0" xfId="1" applyFont="1" applyAlignment="1">
      <alignment horizontal="right" vertical="center"/>
    </xf>
    <xf numFmtId="0" fontId="2" fillId="0" borderId="8" xfId="0" applyFont="1" applyBorder="1" applyAlignment="1"/>
    <xf numFmtId="0" fontId="2" fillId="0" borderId="0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0" quotePrefix="1" applyFont="1" applyAlignment="1"/>
    <xf numFmtId="2" fontId="2" fillId="0" borderId="0" xfId="0" quotePrefix="1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2" fillId="8" borderId="0" xfId="0" applyFont="1" applyFill="1" applyAlignment="1"/>
    <xf numFmtId="0" fontId="3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0" borderId="0" xfId="0" applyFont="1"/>
    <xf numFmtId="0" fontId="2" fillId="0" borderId="0" xfId="0" quotePrefix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/>
    <xf numFmtId="0" fontId="7" fillId="0" borderId="0" xfId="0" applyFont="1" applyAlignment="1">
      <alignment vertical="center"/>
    </xf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/>
    <xf numFmtId="14" fontId="8" fillId="0" borderId="0" xfId="0" applyNumberFormat="1" applyFont="1" applyAlignment="1">
      <alignment vertical="center"/>
    </xf>
    <xf numFmtId="0" fontId="10" fillId="0" borderId="0" xfId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1" fillId="0" borderId="0" xfId="1" applyAlignment="1">
      <alignment vertical="center"/>
    </xf>
    <xf numFmtId="14" fontId="1" fillId="0" borderId="0" xfId="1" applyNumberFormat="1" applyAlignment="1">
      <alignment vertical="center"/>
    </xf>
    <xf numFmtId="0" fontId="8" fillId="11" borderId="0" xfId="0" applyFont="1" applyFill="1" applyAlignmen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4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5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6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Lisa_Taylor@email.com" TargetMode="External"/><Relationship Id="rId3" Type="http://schemas.openxmlformats.org/officeDocument/2006/relationships/hyperlink" Target="mailto:alex.m@email.com" TargetMode="External"/><Relationship Id="rId7" Type="http://schemas.openxmlformats.org/officeDocument/2006/relationships/hyperlink" Target="mailto:lisa.t@email.com" TargetMode="External"/><Relationship Id="rId2" Type="http://schemas.openxmlformats.org/officeDocument/2006/relationships/hyperlink" Target="mailto:anna.lee@email.com" TargetMode="External"/><Relationship Id="rId1" Type="http://schemas.openxmlformats.org/officeDocument/2006/relationships/hyperlink" Target="mailto:sara.khan@email.com" TargetMode="External"/><Relationship Id="rId6" Type="http://schemas.openxmlformats.org/officeDocument/2006/relationships/hyperlink" Target="mailto:ethan.a@email.com" TargetMode="External"/><Relationship Id="rId5" Type="http://schemas.openxmlformats.org/officeDocument/2006/relationships/hyperlink" Target="mailto:olivia.h@email.com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mailto:daniel.c@email.com" TargetMode="External"/><Relationship Id="rId9" Type="http://schemas.openxmlformats.org/officeDocument/2006/relationships/hyperlink" Target="mailto:Daniel_Clark@e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" sqref="A1:XFD1048576"/>
    </sheetView>
  </sheetViews>
  <sheetFormatPr defaultRowHeight="15.6" x14ac:dyDescent="0.3"/>
  <cols>
    <col min="1" max="1" width="52" style="39" bestFit="1" customWidth="1"/>
    <col min="2" max="2" width="44.88671875" style="39" bestFit="1" customWidth="1"/>
    <col min="3" max="3" width="30.44140625" style="39" bestFit="1" customWidth="1"/>
    <col min="4" max="4" width="12.109375" style="39" bestFit="1" customWidth="1"/>
    <col min="5" max="5" width="24.33203125" style="39" bestFit="1" customWidth="1"/>
    <col min="6" max="16384" width="8.88671875" style="39"/>
  </cols>
  <sheetData>
    <row r="1" spans="1:5" x14ac:dyDescent="0.3">
      <c r="A1" s="6" t="s">
        <v>140</v>
      </c>
      <c r="B1" s="6" t="s">
        <v>141</v>
      </c>
      <c r="C1" s="6" t="s">
        <v>142</v>
      </c>
      <c r="D1" s="6" t="s">
        <v>143</v>
      </c>
    </row>
    <row r="2" spans="1:5" x14ac:dyDescent="0.3">
      <c r="A2" s="1" t="s">
        <v>144</v>
      </c>
      <c r="B2" s="1" t="s">
        <v>145</v>
      </c>
      <c r="C2" s="40" t="s">
        <v>182</v>
      </c>
      <c r="D2" s="1" t="s">
        <v>146</v>
      </c>
    </row>
    <row r="3" spans="1:5" x14ac:dyDescent="0.3">
      <c r="A3" s="1" t="s">
        <v>147</v>
      </c>
      <c r="B3" s="1" t="s">
        <v>148</v>
      </c>
      <c r="C3" s="40" t="s">
        <v>183</v>
      </c>
      <c r="D3" s="1" t="s">
        <v>149</v>
      </c>
    </row>
    <row r="4" spans="1:5" x14ac:dyDescent="0.3">
      <c r="A4" s="1" t="s">
        <v>150</v>
      </c>
      <c r="B4" s="1" t="s">
        <v>151</v>
      </c>
      <c r="C4" s="40" t="s">
        <v>184</v>
      </c>
      <c r="D4" s="1" t="s">
        <v>152</v>
      </c>
    </row>
    <row r="5" spans="1:5" x14ac:dyDescent="0.3">
      <c r="A5" s="1"/>
      <c r="B5" s="1"/>
      <c r="C5" s="40"/>
      <c r="D5" s="1"/>
    </row>
    <row r="6" spans="1:5" x14ac:dyDescent="0.3">
      <c r="A6" s="1" t="s">
        <v>226</v>
      </c>
      <c r="B6" s="1" t="s">
        <v>170</v>
      </c>
      <c r="C6" s="40" t="s">
        <v>191</v>
      </c>
      <c r="D6" s="1" t="s">
        <v>171</v>
      </c>
    </row>
    <row r="7" spans="1:5" x14ac:dyDescent="0.3">
      <c r="A7" s="1" t="s">
        <v>175</v>
      </c>
      <c r="B7" s="1" t="s">
        <v>176</v>
      </c>
      <c r="C7" s="40" t="s">
        <v>194</v>
      </c>
      <c r="D7" s="1" t="s">
        <v>177</v>
      </c>
    </row>
    <row r="8" spans="1:5" x14ac:dyDescent="0.3">
      <c r="A8" s="1" t="s">
        <v>178</v>
      </c>
      <c r="B8" s="1" t="s">
        <v>179</v>
      </c>
      <c r="C8" s="40" t="s">
        <v>195</v>
      </c>
      <c r="D8" s="1">
        <v>123</v>
      </c>
    </row>
    <row r="9" spans="1:5" x14ac:dyDescent="0.3">
      <c r="A9" s="1" t="s">
        <v>180</v>
      </c>
      <c r="B9" s="1" t="s">
        <v>181</v>
      </c>
      <c r="C9" s="40" t="s">
        <v>196</v>
      </c>
      <c r="D9" s="1" t="b">
        <v>0</v>
      </c>
    </row>
    <row r="10" spans="1:5" x14ac:dyDescent="0.3">
      <c r="A10" s="1"/>
      <c r="B10" s="1"/>
      <c r="C10" s="40"/>
      <c r="D10" s="1"/>
    </row>
    <row r="11" spans="1:5" x14ac:dyDescent="0.3">
      <c r="A11" s="1"/>
      <c r="B11" s="1"/>
      <c r="C11" s="40"/>
      <c r="D11" s="1"/>
    </row>
    <row r="12" spans="1:5" x14ac:dyDescent="0.3">
      <c r="A12" s="1" t="s">
        <v>153</v>
      </c>
      <c r="B12" s="1" t="s">
        <v>154</v>
      </c>
      <c r="C12" s="40" t="s">
        <v>185</v>
      </c>
      <c r="D12" s="1">
        <v>5</v>
      </c>
    </row>
    <row r="13" spans="1:5" x14ac:dyDescent="0.3">
      <c r="A13" s="1" t="s">
        <v>172</v>
      </c>
      <c r="B13" s="1" t="s">
        <v>173</v>
      </c>
      <c r="C13" s="40" t="s">
        <v>192</v>
      </c>
      <c r="D13" s="1">
        <v>3</v>
      </c>
      <c r="E13" s="39" t="s">
        <v>210</v>
      </c>
    </row>
    <row r="14" spans="1:5" x14ac:dyDescent="0.3">
      <c r="A14" s="1" t="s">
        <v>174</v>
      </c>
      <c r="B14" s="1" t="s">
        <v>211</v>
      </c>
      <c r="C14" s="40" t="s">
        <v>193</v>
      </c>
      <c r="D14" s="1">
        <v>1</v>
      </c>
      <c r="E14" s="39" t="s">
        <v>210</v>
      </c>
    </row>
    <row r="15" spans="1:5" x14ac:dyDescent="0.3">
      <c r="A15" s="1"/>
      <c r="B15" s="1"/>
      <c r="C15" s="40"/>
      <c r="D15" s="1"/>
    </row>
    <row r="16" spans="1:5" x14ac:dyDescent="0.3">
      <c r="A16" s="1" t="s">
        <v>155</v>
      </c>
      <c r="B16" s="1" t="s">
        <v>156</v>
      </c>
      <c r="C16" s="40" t="s">
        <v>186</v>
      </c>
      <c r="D16" s="1" t="s">
        <v>157</v>
      </c>
    </row>
    <row r="17" spans="1:4" x14ac:dyDescent="0.3">
      <c r="A17" s="1" t="s">
        <v>158</v>
      </c>
      <c r="B17" s="1" t="s">
        <v>159</v>
      </c>
      <c r="C17" s="40" t="s">
        <v>187</v>
      </c>
      <c r="D17" s="1" t="s">
        <v>160</v>
      </c>
    </row>
    <row r="18" spans="1:4" x14ac:dyDescent="0.3">
      <c r="A18" s="1" t="s">
        <v>161</v>
      </c>
      <c r="B18" s="1" t="s">
        <v>162</v>
      </c>
      <c r="C18" s="40" t="s">
        <v>188</v>
      </c>
      <c r="D18" s="1" t="s">
        <v>163</v>
      </c>
    </row>
    <row r="19" spans="1:4" x14ac:dyDescent="0.3">
      <c r="A19" s="1" t="s">
        <v>164</v>
      </c>
      <c r="B19" s="1" t="s">
        <v>165</v>
      </c>
      <c r="C19" s="40" t="s">
        <v>189</v>
      </c>
      <c r="D19" s="1" t="s">
        <v>166</v>
      </c>
    </row>
    <row r="20" spans="1:4" x14ac:dyDescent="0.3">
      <c r="A20" s="1" t="s">
        <v>167</v>
      </c>
      <c r="B20" s="1" t="s">
        <v>168</v>
      </c>
      <c r="C20" s="40" t="s">
        <v>190</v>
      </c>
      <c r="D20" s="1" t="s">
        <v>157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zoomScale="90" zoomScaleNormal="90" workbookViewId="0">
      <selection activeCell="B1" sqref="A1:XFD1048576"/>
    </sheetView>
  </sheetViews>
  <sheetFormatPr defaultRowHeight="15.6" x14ac:dyDescent="0.3"/>
  <cols>
    <col min="1" max="1" width="7.5546875" style="2" bestFit="1" customWidth="1"/>
    <col min="2" max="2" width="11.44140625" style="2" bestFit="1" customWidth="1"/>
    <col min="3" max="3" width="11.21875" style="2" bestFit="1" customWidth="1"/>
    <col min="4" max="4" width="17.6640625" style="2" bestFit="1" customWidth="1"/>
    <col min="5" max="5" width="5.88671875" style="2" bestFit="1" customWidth="1"/>
    <col min="6" max="6" width="9.77734375" style="2" bestFit="1" customWidth="1"/>
    <col min="7" max="7" width="7.21875" style="2" bestFit="1" customWidth="1"/>
    <col min="8" max="8" width="7.109375" style="2" bestFit="1" customWidth="1"/>
    <col min="9" max="9" width="7.44140625" style="2" bestFit="1" customWidth="1"/>
    <col min="10" max="10" width="11.44140625" style="2" bestFit="1" customWidth="1"/>
    <col min="11" max="11" width="23.44140625" style="2" bestFit="1" customWidth="1"/>
    <col min="12" max="13" width="15" style="2" bestFit="1" customWidth="1"/>
    <col min="14" max="14" width="20.33203125" style="2" bestFit="1" customWidth="1"/>
    <col min="15" max="15" width="16.77734375" style="2" bestFit="1" customWidth="1"/>
    <col min="16" max="16" width="17.21875" style="2" bestFit="1" customWidth="1"/>
    <col min="17" max="17" width="28.77734375" style="2" bestFit="1" customWidth="1"/>
    <col min="18" max="16384" width="8.88671875" style="2"/>
  </cols>
  <sheetData>
    <row r="1" spans="1:21" x14ac:dyDescent="0.3">
      <c r="L1" s="50" t="s">
        <v>203</v>
      </c>
      <c r="M1" s="50"/>
      <c r="N1" s="50"/>
      <c r="O1" s="50"/>
      <c r="P1" s="50"/>
      <c r="Q1" s="50"/>
      <c r="T1" s="50" t="s">
        <v>86</v>
      </c>
      <c r="U1" s="50"/>
    </row>
    <row r="2" spans="1:21" x14ac:dyDescent="0.3">
      <c r="L2" s="51" t="s">
        <v>200</v>
      </c>
      <c r="M2" s="51"/>
      <c r="N2" s="52" t="s">
        <v>201</v>
      </c>
      <c r="O2" s="52"/>
      <c r="P2" s="52"/>
      <c r="Q2" s="35" t="s">
        <v>202</v>
      </c>
      <c r="T2" s="6"/>
      <c r="U2" s="6"/>
    </row>
    <row r="3" spans="1:21" x14ac:dyDescent="0.3">
      <c r="A3" s="6" t="s">
        <v>0</v>
      </c>
      <c r="B3" s="6" t="s">
        <v>87</v>
      </c>
      <c r="C3" s="6" t="s">
        <v>128</v>
      </c>
      <c r="D3" s="6" t="s">
        <v>129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36" t="s">
        <v>86</v>
      </c>
      <c r="M3" s="36" t="s">
        <v>130</v>
      </c>
      <c r="N3" s="37" t="s">
        <v>158</v>
      </c>
      <c r="O3" s="37" t="s">
        <v>161</v>
      </c>
      <c r="P3" s="37" t="s">
        <v>164</v>
      </c>
      <c r="Q3" s="38" t="s">
        <v>167</v>
      </c>
    </row>
    <row r="4" spans="1:21" x14ac:dyDescent="0.3">
      <c r="A4" s="1" t="s">
        <v>40</v>
      </c>
      <c r="B4" s="1" t="s">
        <v>88</v>
      </c>
      <c r="C4" s="1" t="s">
        <v>89</v>
      </c>
      <c r="D4" s="16" t="s">
        <v>198</v>
      </c>
      <c r="E4" s="1" t="s">
        <v>16</v>
      </c>
      <c r="F4" s="1" t="s">
        <v>12</v>
      </c>
      <c r="G4" s="1">
        <v>46000</v>
      </c>
      <c r="H4" s="1">
        <v>2000</v>
      </c>
      <c r="I4" s="1">
        <v>2</v>
      </c>
      <c r="J4" s="17">
        <v>44668</v>
      </c>
      <c r="K4" s="29" t="s">
        <v>42</v>
      </c>
      <c r="L4" s="2" t="str">
        <f>CONCATENATE(B4," ",C4)</f>
        <v>Lisa Taylor</v>
      </c>
      <c r="M4" s="2" t="str">
        <f>B4&amp;" "&amp;C4</f>
        <v>Lisa Taylor</v>
      </c>
      <c r="N4" s="2" t="str">
        <f>UPPER(D4)</f>
        <v xml:space="preserve">      LISA TAYLOR    </v>
      </c>
      <c r="O4" s="2" t="str">
        <f>LOWER(D4)</f>
        <v xml:space="preserve">      lisa taylor    </v>
      </c>
      <c r="P4" s="2" t="str">
        <f>PROPER(O4)</f>
        <v xml:space="preserve">      Lisa Taylor    </v>
      </c>
      <c r="Q4" s="2" t="str">
        <f>TRIM(D4)</f>
        <v>Lisa Taylor</v>
      </c>
    </row>
    <row r="5" spans="1:21" x14ac:dyDescent="0.3">
      <c r="A5" s="1" t="s">
        <v>58</v>
      </c>
      <c r="B5" s="1" t="s">
        <v>90</v>
      </c>
      <c r="C5" s="1" t="s">
        <v>91</v>
      </c>
      <c r="D5" s="16" t="s">
        <v>199</v>
      </c>
      <c r="E5" s="1" t="s">
        <v>16</v>
      </c>
      <c r="F5" s="1" t="s">
        <v>17</v>
      </c>
      <c r="G5" s="1">
        <v>45000</v>
      </c>
      <c r="H5" s="1">
        <v>2200</v>
      </c>
      <c r="I5" s="1">
        <v>2</v>
      </c>
      <c r="J5" s="17">
        <v>44448</v>
      </c>
      <c r="K5" s="29" t="s">
        <v>60</v>
      </c>
      <c r="L5" s="2" t="str">
        <f t="shared" ref="L5:L23" si="0">CONCATENATE(B5," ",C5)</f>
        <v>Daniel Clark</v>
      </c>
      <c r="M5" s="2" t="str">
        <f t="shared" ref="M5:M23" si="1">B5&amp;" "&amp;C5</f>
        <v>Daniel Clark</v>
      </c>
      <c r="N5" s="2" t="str">
        <f t="shared" ref="N5:N23" si="2">UPPER(D5)</f>
        <v xml:space="preserve">     DANIEL CLARK     </v>
      </c>
      <c r="O5" s="2" t="str">
        <f t="shared" ref="O5:O23" si="3">LOWER(D5)</f>
        <v xml:space="preserve">     daniel clark     </v>
      </c>
      <c r="P5" s="2" t="str">
        <f t="shared" ref="P5:P23" si="4">PROPER(O5)</f>
        <v xml:space="preserve">     Daniel Clark     </v>
      </c>
      <c r="Q5" s="2" t="str">
        <f t="shared" ref="Q5:Q23" si="5">TRIM(D5)</f>
        <v>Daniel Clark</v>
      </c>
    </row>
    <row r="6" spans="1:21" x14ac:dyDescent="0.3">
      <c r="A6" s="1" t="s">
        <v>31</v>
      </c>
      <c r="B6" s="1" t="s">
        <v>92</v>
      </c>
      <c r="C6" s="1" t="s">
        <v>93</v>
      </c>
      <c r="D6" s="16" t="s">
        <v>32</v>
      </c>
      <c r="E6" s="1" t="s">
        <v>16</v>
      </c>
      <c r="F6" s="1" t="s">
        <v>22</v>
      </c>
      <c r="G6" s="1">
        <v>47000</v>
      </c>
      <c r="H6" s="1">
        <v>2500</v>
      </c>
      <c r="I6" s="1">
        <v>3</v>
      </c>
      <c r="J6" s="17">
        <v>44359</v>
      </c>
      <c r="K6" s="29" t="s">
        <v>33</v>
      </c>
      <c r="L6" s="2" t="str">
        <f t="shared" si="0"/>
        <v>Anna Lee</v>
      </c>
      <c r="M6" s="2" t="str">
        <f t="shared" si="1"/>
        <v>Anna Lee</v>
      </c>
      <c r="N6" s="2" t="str">
        <f t="shared" si="2"/>
        <v>ANNA LEE</v>
      </c>
      <c r="O6" s="2" t="str">
        <f t="shared" si="3"/>
        <v>anna lee</v>
      </c>
      <c r="P6" s="2" t="str">
        <f t="shared" si="4"/>
        <v>Anna Lee</v>
      </c>
      <c r="Q6" s="2" t="str">
        <f t="shared" si="5"/>
        <v>Anna Lee</v>
      </c>
    </row>
    <row r="7" spans="1:21" x14ac:dyDescent="0.3">
      <c r="A7" s="1" t="s">
        <v>67</v>
      </c>
      <c r="B7" s="1" t="s">
        <v>94</v>
      </c>
      <c r="C7" s="1" t="s">
        <v>95</v>
      </c>
      <c r="D7" s="16" t="s">
        <v>68</v>
      </c>
      <c r="E7" s="1" t="s">
        <v>16</v>
      </c>
      <c r="F7" s="1" t="s">
        <v>22</v>
      </c>
      <c r="G7" s="1">
        <v>47000</v>
      </c>
      <c r="H7" s="1">
        <v>2600</v>
      </c>
      <c r="I7" s="1">
        <v>3</v>
      </c>
      <c r="J7" s="17">
        <v>44620</v>
      </c>
      <c r="K7" s="29" t="s">
        <v>69</v>
      </c>
      <c r="L7" s="2" t="str">
        <f t="shared" si="0"/>
        <v>Olivia Hall</v>
      </c>
      <c r="M7" s="2" t="str">
        <f t="shared" si="1"/>
        <v>Olivia Hall</v>
      </c>
      <c r="N7" s="2" t="str">
        <f t="shared" si="2"/>
        <v>OLIVIA HALL</v>
      </c>
      <c r="O7" s="2" t="str">
        <f t="shared" si="3"/>
        <v>olivia hall</v>
      </c>
      <c r="P7" s="2" t="str">
        <f t="shared" si="4"/>
        <v>Olivia Hall</v>
      </c>
      <c r="Q7" s="2" t="str">
        <f t="shared" si="5"/>
        <v>Olivia Hall</v>
      </c>
    </row>
    <row r="8" spans="1:21" x14ac:dyDescent="0.3">
      <c r="A8" s="1" t="s">
        <v>49</v>
      </c>
      <c r="B8" s="1" t="s">
        <v>96</v>
      </c>
      <c r="C8" s="1" t="s">
        <v>97</v>
      </c>
      <c r="D8" s="16" t="s">
        <v>50</v>
      </c>
      <c r="E8" s="1" t="s">
        <v>16</v>
      </c>
      <c r="F8" s="1" t="s">
        <v>26</v>
      </c>
      <c r="G8" s="1">
        <v>49000</v>
      </c>
      <c r="H8" s="1">
        <v>2800</v>
      </c>
      <c r="I8" s="1">
        <v>3</v>
      </c>
      <c r="J8" s="17">
        <v>44115</v>
      </c>
      <c r="K8" s="29" t="s">
        <v>51</v>
      </c>
      <c r="L8" s="2" t="str">
        <f t="shared" si="0"/>
        <v>Alex Martinez</v>
      </c>
      <c r="M8" s="2" t="str">
        <f t="shared" si="1"/>
        <v>Alex Martinez</v>
      </c>
      <c r="N8" s="2" t="str">
        <f t="shared" si="2"/>
        <v>ALEX MARTINEZ</v>
      </c>
      <c r="O8" s="2" t="str">
        <f t="shared" si="3"/>
        <v>alex martinez</v>
      </c>
      <c r="P8" s="2" t="str">
        <f t="shared" si="4"/>
        <v>Alex Martinez</v>
      </c>
      <c r="Q8" s="2" t="str">
        <f t="shared" si="5"/>
        <v>Alex Martinez</v>
      </c>
    </row>
    <row r="9" spans="1:21" x14ac:dyDescent="0.3">
      <c r="A9" s="1" t="s">
        <v>14</v>
      </c>
      <c r="B9" s="1" t="s">
        <v>98</v>
      </c>
      <c r="C9" s="1" t="s">
        <v>99</v>
      </c>
      <c r="D9" s="16" t="s">
        <v>15</v>
      </c>
      <c r="E9" s="1" t="s">
        <v>16</v>
      </c>
      <c r="F9" s="1" t="s">
        <v>17</v>
      </c>
      <c r="G9" s="1">
        <v>48000</v>
      </c>
      <c r="H9" s="1">
        <v>3000</v>
      </c>
      <c r="I9" s="1">
        <v>3</v>
      </c>
      <c r="J9" s="17">
        <v>44022</v>
      </c>
      <c r="K9" s="29" t="s">
        <v>18</v>
      </c>
      <c r="L9" s="2" t="str">
        <f t="shared" si="0"/>
        <v>Sara Khan</v>
      </c>
      <c r="M9" s="2" t="str">
        <f t="shared" si="1"/>
        <v>Sara Khan</v>
      </c>
      <c r="N9" s="2" t="str">
        <f t="shared" si="2"/>
        <v>SARA KHAN</v>
      </c>
      <c r="O9" s="2" t="str">
        <f t="shared" si="3"/>
        <v>sara khan</v>
      </c>
      <c r="P9" s="2" t="str">
        <f t="shared" si="4"/>
        <v>Sara Khan</v>
      </c>
      <c r="Q9" s="2" t="str">
        <f t="shared" si="5"/>
        <v>Sara Khan</v>
      </c>
    </row>
    <row r="10" spans="1:21" x14ac:dyDescent="0.3">
      <c r="A10" s="1" t="s">
        <v>70</v>
      </c>
      <c r="B10" s="1" t="s">
        <v>100</v>
      </c>
      <c r="C10" s="1" t="s">
        <v>101</v>
      </c>
      <c r="D10" s="16" t="s">
        <v>71</v>
      </c>
      <c r="E10" s="1" t="s">
        <v>11</v>
      </c>
      <c r="F10" s="1" t="s">
        <v>17</v>
      </c>
      <c r="G10" s="1">
        <v>52000</v>
      </c>
      <c r="H10" s="1">
        <v>3900</v>
      </c>
      <c r="I10" s="1">
        <v>4</v>
      </c>
      <c r="J10" s="17">
        <v>44329</v>
      </c>
      <c r="K10" s="29" t="s">
        <v>72</v>
      </c>
      <c r="L10" s="2" t="str">
        <f t="shared" si="0"/>
        <v>Ethan Allen</v>
      </c>
      <c r="M10" s="2" t="str">
        <f t="shared" si="1"/>
        <v>Ethan Allen</v>
      </c>
      <c r="N10" s="2" t="str">
        <f t="shared" si="2"/>
        <v>ETHAN ALLEN</v>
      </c>
      <c r="O10" s="2" t="str">
        <f t="shared" si="3"/>
        <v>ethan allen</v>
      </c>
      <c r="P10" s="2" t="str">
        <f t="shared" si="4"/>
        <v>Ethan Allen</v>
      </c>
      <c r="Q10" s="2" t="str">
        <f t="shared" si="5"/>
        <v>Ethan Allen</v>
      </c>
    </row>
    <row r="11" spans="1:21" x14ac:dyDescent="0.3">
      <c r="A11" s="1" t="s">
        <v>34</v>
      </c>
      <c r="B11" s="1" t="s">
        <v>102</v>
      </c>
      <c r="C11" s="1" t="s">
        <v>103</v>
      </c>
      <c r="D11" s="16" t="s">
        <v>35</v>
      </c>
      <c r="E11" s="1" t="s">
        <v>11</v>
      </c>
      <c r="F11" s="1" t="s">
        <v>17</v>
      </c>
      <c r="G11" s="1">
        <v>51000</v>
      </c>
      <c r="H11" s="1">
        <v>4000</v>
      </c>
      <c r="I11" s="1">
        <v>4</v>
      </c>
      <c r="J11" s="17">
        <v>43886</v>
      </c>
      <c r="K11" s="29" t="s">
        <v>36</v>
      </c>
      <c r="L11" s="2" t="str">
        <f t="shared" si="0"/>
        <v>Chris Brown</v>
      </c>
      <c r="M11" s="2" t="str">
        <f t="shared" si="1"/>
        <v>Chris Brown</v>
      </c>
      <c r="N11" s="2" t="str">
        <f t="shared" si="2"/>
        <v>CHRIS BROWN</v>
      </c>
      <c r="O11" s="2" t="str">
        <f t="shared" si="3"/>
        <v>chris brown</v>
      </c>
      <c r="P11" s="2" t="str">
        <f t="shared" si="4"/>
        <v>Chris Brown</v>
      </c>
      <c r="Q11" s="2" t="str">
        <f t="shared" si="5"/>
        <v>Chris Brown</v>
      </c>
    </row>
    <row r="12" spans="1:21" x14ac:dyDescent="0.3">
      <c r="A12" s="1" t="s">
        <v>43</v>
      </c>
      <c r="B12" s="1" t="s">
        <v>104</v>
      </c>
      <c r="C12" s="1" t="s">
        <v>105</v>
      </c>
      <c r="D12" s="16" t="s">
        <v>44</v>
      </c>
      <c r="E12" s="1" t="s">
        <v>11</v>
      </c>
      <c r="F12" s="1" t="s">
        <v>22</v>
      </c>
      <c r="G12" s="1">
        <v>53000</v>
      </c>
      <c r="H12" s="1">
        <v>4200</v>
      </c>
      <c r="I12" s="1">
        <v>4</v>
      </c>
      <c r="J12" s="17">
        <v>44531</v>
      </c>
      <c r="K12" s="29" t="s">
        <v>45</v>
      </c>
      <c r="L12" s="2" t="str">
        <f t="shared" si="0"/>
        <v>Tom Anderson</v>
      </c>
      <c r="M12" s="2" t="str">
        <f t="shared" si="1"/>
        <v>Tom Anderson</v>
      </c>
      <c r="N12" s="2" t="str">
        <f t="shared" si="2"/>
        <v>TOM ANDERSON</v>
      </c>
      <c r="O12" s="2" t="str">
        <f t="shared" si="3"/>
        <v>tom anderson</v>
      </c>
      <c r="P12" s="2" t="str">
        <f t="shared" si="4"/>
        <v>Tom Anderson</v>
      </c>
      <c r="Q12" s="2" t="str">
        <f t="shared" si="5"/>
        <v>Tom Anderson</v>
      </c>
    </row>
    <row r="13" spans="1:21" x14ac:dyDescent="0.3">
      <c r="A13" s="1" t="s">
        <v>24</v>
      </c>
      <c r="B13" s="1" t="s">
        <v>106</v>
      </c>
      <c r="C13" s="1" t="s">
        <v>107</v>
      </c>
      <c r="D13" s="16" t="s">
        <v>25</v>
      </c>
      <c r="E13" s="1" t="s">
        <v>11</v>
      </c>
      <c r="F13" s="1" t="s">
        <v>26</v>
      </c>
      <c r="G13" s="1">
        <v>54000</v>
      </c>
      <c r="H13" s="1">
        <v>4500</v>
      </c>
      <c r="I13" s="1">
        <v>4</v>
      </c>
      <c r="J13" s="17">
        <v>44566</v>
      </c>
      <c r="K13" s="29" t="s">
        <v>27</v>
      </c>
      <c r="L13" s="2" t="str">
        <f t="shared" si="0"/>
        <v>Emily Davis</v>
      </c>
      <c r="M13" s="2" t="str">
        <f t="shared" si="1"/>
        <v>Emily Davis</v>
      </c>
      <c r="N13" s="2" t="str">
        <f t="shared" si="2"/>
        <v>EMILY DAVIS</v>
      </c>
      <c r="O13" s="2" t="str">
        <f t="shared" si="3"/>
        <v>emily davis</v>
      </c>
      <c r="P13" s="2" t="str">
        <f t="shared" si="4"/>
        <v>Emily Davis</v>
      </c>
      <c r="Q13" s="2" t="str">
        <f t="shared" si="5"/>
        <v>Emily Davis</v>
      </c>
    </row>
    <row r="14" spans="1:21" x14ac:dyDescent="0.3">
      <c r="A14" s="1" t="s">
        <v>52</v>
      </c>
      <c r="B14" s="1" t="s">
        <v>108</v>
      </c>
      <c r="C14" s="1" t="s">
        <v>109</v>
      </c>
      <c r="D14" s="16" t="s">
        <v>53</v>
      </c>
      <c r="E14" s="1" t="s">
        <v>11</v>
      </c>
      <c r="F14" s="1" t="s">
        <v>12</v>
      </c>
      <c r="G14" s="1">
        <v>55000</v>
      </c>
      <c r="H14" s="1">
        <v>4700</v>
      </c>
      <c r="I14" s="1">
        <v>4</v>
      </c>
      <c r="J14" s="17">
        <v>43527</v>
      </c>
      <c r="K14" s="29" t="s">
        <v>54</v>
      </c>
      <c r="L14" s="2" t="str">
        <f t="shared" si="0"/>
        <v>Kevin White</v>
      </c>
      <c r="M14" s="2" t="str">
        <f t="shared" si="1"/>
        <v>Kevin White</v>
      </c>
      <c r="N14" s="2" t="str">
        <f t="shared" si="2"/>
        <v>KEVIN WHITE</v>
      </c>
      <c r="O14" s="2" t="str">
        <f t="shared" si="3"/>
        <v>kevin white</v>
      </c>
      <c r="P14" s="2" t="str">
        <f t="shared" si="4"/>
        <v>Kevin White</v>
      </c>
      <c r="Q14" s="2" t="str">
        <f t="shared" si="5"/>
        <v>Kevin White</v>
      </c>
    </row>
    <row r="15" spans="1:21" x14ac:dyDescent="0.3">
      <c r="A15" s="1" t="s">
        <v>61</v>
      </c>
      <c r="B15" s="1" t="s">
        <v>110</v>
      </c>
      <c r="C15" s="1" t="s">
        <v>111</v>
      </c>
      <c r="D15" s="16" t="s">
        <v>62</v>
      </c>
      <c r="E15" s="1" t="s">
        <v>11</v>
      </c>
      <c r="F15" s="1" t="s">
        <v>26</v>
      </c>
      <c r="G15" s="1">
        <v>56000</v>
      </c>
      <c r="H15" s="1">
        <v>4800</v>
      </c>
      <c r="I15" s="1">
        <v>4</v>
      </c>
      <c r="J15" s="17">
        <v>43849</v>
      </c>
      <c r="K15" s="29" t="s">
        <v>63</v>
      </c>
      <c r="L15" s="2" t="str">
        <f t="shared" si="0"/>
        <v>Sophia Lewis</v>
      </c>
      <c r="M15" s="2" t="str">
        <f t="shared" si="1"/>
        <v>Sophia Lewis</v>
      </c>
      <c r="N15" s="2" t="str">
        <f t="shared" si="2"/>
        <v>SOPHIA LEWIS</v>
      </c>
      <c r="O15" s="2" t="str">
        <f t="shared" si="3"/>
        <v>sophia lewis</v>
      </c>
      <c r="P15" s="2" t="str">
        <f t="shared" si="4"/>
        <v>Sophia Lewis</v>
      </c>
      <c r="Q15" s="2" t="str">
        <f t="shared" si="5"/>
        <v>Sophia Lewis</v>
      </c>
    </row>
    <row r="16" spans="1:21" x14ac:dyDescent="0.3">
      <c r="A16" s="1" t="s">
        <v>9</v>
      </c>
      <c r="B16" s="1" t="s">
        <v>112</v>
      </c>
      <c r="C16" s="1" t="s">
        <v>113</v>
      </c>
      <c r="D16" s="16" t="s">
        <v>10</v>
      </c>
      <c r="E16" s="1" t="s">
        <v>11</v>
      </c>
      <c r="F16" s="1" t="s">
        <v>12</v>
      </c>
      <c r="G16" s="1">
        <v>52000</v>
      </c>
      <c r="H16" s="1">
        <v>5000</v>
      </c>
      <c r="I16" s="1">
        <v>4</v>
      </c>
      <c r="J16" s="17">
        <v>44270</v>
      </c>
      <c r="K16" s="29" t="s">
        <v>13</v>
      </c>
      <c r="L16" s="2" t="str">
        <f t="shared" si="0"/>
        <v>John Smith</v>
      </c>
      <c r="M16" s="2" t="str">
        <f t="shared" si="1"/>
        <v>John Smith</v>
      </c>
      <c r="N16" s="2" t="str">
        <f t="shared" si="2"/>
        <v>JOHN SMITH</v>
      </c>
      <c r="O16" s="2" t="str">
        <f t="shared" si="3"/>
        <v>john smith</v>
      </c>
      <c r="P16" s="2" t="str">
        <f t="shared" si="4"/>
        <v>John Smith</v>
      </c>
      <c r="Q16" s="2" t="str">
        <f t="shared" si="5"/>
        <v>John Smith</v>
      </c>
    </row>
    <row r="17" spans="1:17" x14ac:dyDescent="0.3">
      <c r="A17" s="1" t="s">
        <v>37</v>
      </c>
      <c r="B17" s="1" t="s">
        <v>114</v>
      </c>
      <c r="C17" s="1" t="s">
        <v>115</v>
      </c>
      <c r="D17" s="16" t="s">
        <v>38</v>
      </c>
      <c r="E17" s="1" t="s">
        <v>21</v>
      </c>
      <c r="F17" s="1" t="s">
        <v>26</v>
      </c>
      <c r="G17" s="1">
        <v>68000</v>
      </c>
      <c r="H17" s="1">
        <v>6000</v>
      </c>
      <c r="I17" s="1">
        <v>5</v>
      </c>
      <c r="J17" s="17">
        <v>43707</v>
      </c>
      <c r="K17" s="29" t="s">
        <v>39</v>
      </c>
      <c r="L17" s="2" t="str">
        <f t="shared" si="0"/>
        <v>David Wilson</v>
      </c>
      <c r="M17" s="2" t="str">
        <f t="shared" si="1"/>
        <v>David Wilson</v>
      </c>
      <c r="N17" s="2" t="str">
        <f t="shared" si="2"/>
        <v>DAVID WILSON</v>
      </c>
      <c r="O17" s="2" t="str">
        <f t="shared" si="3"/>
        <v>david wilson</v>
      </c>
      <c r="P17" s="2" t="str">
        <f t="shared" si="4"/>
        <v>David Wilson</v>
      </c>
      <c r="Q17" s="2" t="str">
        <f t="shared" si="5"/>
        <v>David Wilson</v>
      </c>
    </row>
    <row r="18" spans="1:17" x14ac:dyDescent="0.3">
      <c r="A18" s="1" t="s">
        <v>19</v>
      </c>
      <c r="B18" s="1" t="s">
        <v>116</v>
      </c>
      <c r="C18" s="1" t="s">
        <v>117</v>
      </c>
      <c r="D18" s="16" t="s">
        <v>20</v>
      </c>
      <c r="E18" s="1" t="s">
        <v>21</v>
      </c>
      <c r="F18" s="1" t="s">
        <v>22</v>
      </c>
      <c r="G18" s="1">
        <v>65000</v>
      </c>
      <c r="H18" s="1">
        <v>7000</v>
      </c>
      <c r="I18" s="1">
        <v>5</v>
      </c>
      <c r="J18" s="17">
        <v>43791</v>
      </c>
      <c r="K18" s="29" t="s">
        <v>23</v>
      </c>
      <c r="L18" s="2" t="str">
        <f t="shared" si="0"/>
        <v>Mike Johnson</v>
      </c>
      <c r="M18" s="2" t="str">
        <f t="shared" si="1"/>
        <v>Mike Johnson</v>
      </c>
      <c r="N18" s="2" t="str">
        <f t="shared" si="2"/>
        <v>MIKE JOHNSON</v>
      </c>
      <c r="O18" s="2" t="str">
        <f t="shared" si="3"/>
        <v>mike johnson</v>
      </c>
      <c r="P18" s="2" t="str">
        <f t="shared" si="4"/>
        <v>Mike Johnson</v>
      </c>
      <c r="Q18" s="2" t="str">
        <f t="shared" si="5"/>
        <v>Mike Johnson</v>
      </c>
    </row>
    <row r="19" spans="1:17" x14ac:dyDescent="0.3">
      <c r="A19" s="1" t="s">
        <v>64</v>
      </c>
      <c r="B19" s="1" t="s">
        <v>118</v>
      </c>
      <c r="C19" s="1" t="s">
        <v>119</v>
      </c>
      <c r="D19" s="16" t="s">
        <v>65</v>
      </c>
      <c r="E19" s="1" t="s">
        <v>21</v>
      </c>
      <c r="F19" s="1" t="s">
        <v>12</v>
      </c>
      <c r="G19" s="1">
        <v>69000</v>
      </c>
      <c r="H19" s="1">
        <v>7100</v>
      </c>
      <c r="I19" s="1">
        <v>5</v>
      </c>
      <c r="J19" s="17">
        <v>43622</v>
      </c>
      <c r="K19" s="29" t="s">
        <v>66</v>
      </c>
      <c r="L19" s="2" t="str">
        <f t="shared" si="0"/>
        <v>James Walker</v>
      </c>
      <c r="M19" s="2" t="str">
        <f t="shared" si="1"/>
        <v>James Walker</v>
      </c>
      <c r="N19" s="2" t="str">
        <f t="shared" si="2"/>
        <v>JAMES WALKER</v>
      </c>
      <c r="O19" s="2" t="str">
        <f t="shared" si="3"/>
        <v>james walker</v>
      </c>
      <c r="P19" s="2" t="str">
        <f t="shared" si="4"/>
        <v>James Walker</v>
      </c>
      <c r="Q19" s="2" t="str">
        <f t="shared" si="5"/>
        <v>James Walker</v>
      </c>
    </row>
    <row r="20" spans="1:17" x14ac:dyDescent="0.3">
      <c r="A20" s="1" t="s">
        <v>46</v>
      </c>
      <c r="B20" s="1" t="s">
        <v>120</v>
      </c>
      <c r="C20" s="1" t="s">
        <v>121</v>
      </c>
      <c r="D20" s="16" t="s">
        <v>47</v>
      </c>
      <c r="E20" s="1" t="s">
        <v>21</v>
      </c>
      <c r="F20" s="1" t="s">
        <v>17</v>
      </c>
      <c r="G20" s="1">
        <v>70000</v>
      </c>
      <c r="H20" s="1">
        <v>7500</v>
      </c>
      <c r="I20" s="1">
        <v>5</v>
      </c>
      <c r="J20" s="17">
        <v>43241</v>
      </c>
      <c r="K20" s="29" t="s">
        <v>48</v>
      </c>
      <c r="L20" s="2" t="str">
        <f t="shared" si="0"/>
        <v>Nina Gupta</v>
      </c>
      <c r="M20" s="2" t="str">
        <f t="shared" si="1"/>
        <v>Nina Gupta</v>
      </c>
      <c r="N20" s="2" t="str">
        <f t="shared" si="2"/>
        <v>NINA GUPTA</v>
      </c>
      <c r="O20" s="2" t="str">
        <f t="shared" si="3"/>
        <v>nina gupta</v>
      </c>
      <c r="P20" s="2" t="str">
        <f t="shared" si="4"/>
        <v>Nina Gupta</v>
      </c>
      <c r="Q20" s="2" t="str">
        <f t="shared" si="5"/>
        <v>Nina Gupta</v>
      </c>
    </row>
    <row r="21" spans="1:17" x14ac:dyDescent="0.3">
      <c r="A21" s="1" t="s">
        <v>73</v>
      </c>
      <c r="B21" s="1" t="s">
        <v>122</v>
      </c>
      <c r="C21" s="1" t="s">
        <v>123</v>
      </c>
      <c r="D21" s="16" t="s">
        <v>74</v>
      </c>
      <c r="E21" s="1" t="s">
        <v>21</v>
      </c>
      <c r="F21" s="1" t="s">
        <v>26</v>
      </c>
      <c r="G21" s="1">
        <v>71000</v>
      </c>
      <c r="H21" s="1">
        <v>7800</v>
      </c>
      <c r="I21" s="1">
        <v>5</v>
      </c>
      <c r="J21" s="17">
        <v>43458</v>
      </c>
      <c r="K21" s="29" t="s">
        <v>75</v>
      </c>
      <c r="L21" s="2" t="str">
        <f t="shared" si="0"/>
        <v>Chloe Young</v>
      </c>
      <c r="M21" s="2" t="str">
        <f t="shared" si="1"/>
        <v>Chloe Young</v>
      </c>
      <c r="N21" s="2" t="str">
        <f t="shared" si="2"/>
        <v>CHLOE YOUNG</v>
      </c>
      <c r="O21" s="2" t="str">
        <f t="shared" si="3"/>
        <v>chloe young</v>
      </c>
      <c r="P21" s="2" t="str">
        <f t="shared" si="4"/>
        <v>Chloe Young</v>
      </c>
      <c r="Q21" s="2" t="str">
        <f t="shared" si="5"/>
        <v>Chloe Young</v>
      </c>
    </row>
    <row r="22" spans="1:17" x14ac:dyDescent="0.3">
      <c r="A22" s="1" t="s">
        <v>28</v>
      </c>
      <c r="B22" s="1" t="s">
        <v>124</v>
      </c>
      <c r="C22" s="1" t="s">
        <v>125</v>
      </c>
      <c r="D22" s="16" t="s">
        <v>29</v>
      </c>
      <c r="E22" s="1" t="s">
        <v>21</v>
      </c>
      <c r="F22" s="1" t="s">
        <v>12</v>
      </c>
      <c r="G22" s="1">
        <v>72000</v>
      </c>
      <c r="H22" s="1">
        <v>8000</v>
      </c>
      <c r="I22" s="1">
        <v>5</v>
      </c>
      <c r="J22" s="17">
        <v>43361</v>
      </c>
      <c r="K22" s="29" t="s">
        <v>30</v>
      </c>
      <c r="L22" s="2" t="str">
        <f t="shared" si="0"/>
        <v>Raj Patel</v>
      </c>
      <c r="M22" s="2" t="str">
        <f t="shared" si="1"/>
        <v>Raj Patel</v>
      </c>
      <c r="N22" s="2" t="str">
        <f t="shared" si="2"/>
        <v>RAJ PATEL</v>
      </c>
      <c r="O22" s="2" t="str">
        <f t="shared" si="3"/>
        <v>raj patel</v>
      </c>
      <c r="P22" s="2" t="str">
        <f t="shared" si="4"/>
        <v>Raj Patel</v>
      </c>
      <c r="Q22" s="2" t="str">
        <f t="shared" si="5"/>
        <v>Raj Patel</v>
      </c>
    </row>
    <row r="23" spans="1:17" x14ac:dyDescent="0.3">
      <c r="A23" s="1" t="s">
        <v>55</v>
      </c>
      <c r="B23" s="1" t="s">
        <v>126</v>
      </c>
      <c r="C23" s="1" t="s">
        <v>127</v>
      </c>
      <c r="D23" s="16" t="s">
        <v>56</v>
      </c>
      <c r="E23" s="1" t="s">
        <v>21</v>
      </c>
      <c r="F23" s="1" t="s">
        <v>22</v>
      </c>
      <c r="G23" s="1">
        <v>73000</v>
      </c>
      <c r="H23" s="1">
        <v>8200</v>
      </c>
      <c r="I23" s="1">
        <v>5</v>
      </c>
      <c r="J23" s="17">
        <v>42930</v>
      </c>
      <c r="K23" s="29" t="s">
        <v>57</v>
      </c>
      <c r="L23" s="2" t="str">
        <f t="shared" si="0"/>
        <v>Priya Sharma</v>
      </c>
      <c r="M23" s="2" t="str">
        <f t="shared" si="1"/>
        <v>Priya Sharma</v>
      </c>
      <c r="N23" s="2" t="str">
        <f t="shared" si="2"/>
        <v>PRIYA SHARMA</v>
      </c>
      <c r="O23" s="2" t="str">
        <f t="shared" si="3"/>
        <v>priya sharma</v>
      </c>
      <c r="P23" s="2" t="str">
        <f t="shared" si="4"/>
        <v>Priya Sharma</v>
      </c>
      <c r="Q23" s="2" t="str">
        <f t="shared" si="5"/>
        <v>Priya Sharma</v>
      </c>
    </row>
    <row r="24" spans="1:17" x14ac:dyDescent="0.3">
      <c r="F24" s="2">
        <f>SUM(G4:G23)</f>
        <v>1143000</v>
      </c>
      <c r="G24" s="2">
        <f>SUM(H4:H23)</f>
        <v>97800</v>
      </c>
    </row>
  </sheetData>
  <mergeCells count="4">
    <mergeCell ref="T1:U1"/>
    <mergeCell ref="L2:M2"/>
    <mergeCell ref="N2:P2"/>
    <mergeCell ref="L1:Q1"/>
  </mergeCells>
  <hyperlinks>
    <hyperlink ref="K16" r:id="rId1" display="mailto:john.smith@email.com"/>
    <hyperlink ref="K9" r:id="rId2" display="mailto:sara.khan@email.com"/>
    <hyperlink ref="K18" r:id="rId3" display="mailto:mike.j@email.com"/>
    <hyperlink ref="K13" r:id="rId4" display="mailto:emily.d@email.com"/>
    <hyperlink ref="K22" r:id="rId5" display="mailto:raj.patel@email.com"/>
    <hyperlink ref="K6" r:id="rId6" display="mailto:anna.lee@email.com"/>
    <hyperlink ref="K11" r:id="rId7" display="mailto:chris.b@email.com"/>
    <hyperlink ref="K17" r:id="rId8" display="mailto:david.w@email.com"/>
    <hyperlink ref="K4" r:id="rId9"/>
    <hyperlink ref="K12" r:id="rId10" display="mailto:tom.a@email.com"/>
    <hyperlink ref="K20" r:id="rId11" display="mailto:nina.g@email.com"/>
    <hyperlink ref="K8" r:id="rId12" display="mailto:alex.m@email.com"/>
    <hyperlink ref="K14" r:id="rId13" display="mailto:kevin.w@email.com"/>
    <hyperlink ref="K23" r:id="rId14" display="mailto:priya.s@email.com"/>
    <hyperlink ref="K5" r:id="rId15" display="mailto:daniel.c@email.com"/>
    <hyperlink ref="K15" r:id="rId16" display="mailto:sophia.l@email.com"/>
    <hyperlink ref="K19" r:id="rId17" display="mailto:james.w@email.com"/>
    <hyperlink ref="K7" r:id="rId18" display="mailto:olivia.h@email.com"/>
    <hyperlink ref="K10" r:id="rId19" display="mailto:ethan.a@email.com"/>
    <hyperlink ref="K21" r:id="rId20" display="mailto:chloe.y@email.com"/>
  </hyperlinks>
  <pageMargins left="0.7" right="0.7" top="0.75" bottom="0.75" header="0.3" footer="0.3"/>
  <pageSetup orientation="portrait"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zoomScale="122" zoomScaleNormal="90" workbookViewId="0">
      <selection activeCell="B1" sqref="A1:XFD1048576"/>
    </sheetView>
  </sheetViews>
  <sheetFormatPr defaultRowHeight="15.6" x14ac:dyDescent="0.3"/>
  <cols>
    <col min="1" max="1" width="7.44140625" style="2" bestFit="1" customWidth="1"/>
    <col min="2" max="2" width="11.21875" style="2" bestFit="1" customWidth="1"/>
    <col min="3" max="3" width="10.88671875" style="2" bestFit="1" customWidth="1"/>
    <col min="4" max="4" width="15.109375" style="2" bestFit="1" customWidth="1"/>
    <col min="5" max="5" width="5.77734375" style="2" bestFit="1" customWidth="1"/>
    <col min="6" max="6" width="7.6640625" style="2" bestFit="1" customWidth="1"/>
    <col min="7" max="7" width="7.21875" style="2" bestFit="1" customWidth="1"/>
    <col min="8" max="8" width="11.21875" style="2" bestFit="1" customWidth="1"/>
    <col min="9" max="9" width="11.21875" style="2" hidden="1" customWidth="1"/>
    <col min="10" max="10" width="22.88671875" style="2" bestFit="1" customWidth="1"/>
    <col min="11" max="11" width="4.77734375" style="2" bestFit="1" customWidth="1"/>
    <col min="12" max="12" width="28.77734375" style="2" bestFit="1" customWidth="1"/>
    <col min="13" max="13" width="30.88671875" style="2" bestFit="1" customWidth="1"/>
    <col min="14" max="14" width="5.6640625" style="2" bestFit="1" customWidth="1"/>
    <col min="15" max="15" width="7.44140625" style="2" bestFit="1" customWidth="1"/>
    <col min="16" max="16384" width="8.88671875" style="2"/>
  </cols>
  <sheetData>
    <row r="1" spans="1:15" x14ac:dyDescent="0.3">
      <c r="J1" s="3"/>
      <c r="L1" s="34" t="s">
        <v>213</v>
      </c>
      <c r="M1" s="3" t="s">
        <v>217</v>
      </c>
    </row>
    <row r="2" spans="1:15" x14ac:dyDescent="0.3">
      <c r="J2" s="3"/>
      <c r="L2" s="30" t="s">
        <v>214</v>
      </c>
      <c r="M2" s="1" t="s">
        <v>174</v>
      </c>
    </row>
    <row r="3" spans="1:15" x14ac:dyDescent="0.3">
      <c r="J3" s="3"/>
      <c r="L3" s="30" t="s">
        <v>215</v>
      </c>
      <c r="M3" s="1" t="s">
        <v>216</v>
      </c>
    </row>
    <row r="4" spans="1:15" x14ac:dyDescent="0.3">
      <c r="J4" s="3"/>
      <c r="L4" s="30"/>
      <c r="M4" s="1"/>
    </row>
    <row r="5" spans="1:15" x14ac:dyDescent="0.3">
      <c r="A5" s="6" t="s">
        <v>0</v>
      </c>
      <c r="B5" s="6" t="s">
        <v>87</v>
      </c>
      <c r="C5" s="6" t="s">
        <v>128</v>
      </c>
      <c r="D5" s="6" t="s">
        <v>129</v>
      </c>
      <c r="E5" s="6" t="s">
        <v>2</v>
      </c>
      <c r="F5" s="6" t="s">
        <v>3</v>
      </c>
      <c r="G5" s="6" t="s">
        <v>6</v>
      </c>
      <c r="H5" s="6" t="s">
        <v>7</v>
      </c>
      <c r="I5" s="6"/>
      <c r="J5" s="6" t="s">
        <v>8</v>
      </c>
      <c r="K5" s="6" t="s">
        <v>85</v>
      </c>
      <c r="L5" s="6" t="s">
        <v>131</v>
      </c>
      <c r="M5" s="6" t="s">
        <v>212</v>
      </c>
      <c r="N5" s="6" t="s">
        <v>131</v>
      </c>
      <c r="O5" s="6" t="s">
        <v>212</v>
      </c>
    </row>
    <row r="6" spans="1:15" x14ac:dyDescent="0.3">
      <c r="A6" s="1" t="s">
        <v>40</v>
      </c>
      <c r="B6" s="1" t="s">
        <v>88</v>
      </c>
      <c r="C6" s="1" t="s">
        <v>89</v>
      </c>
      <c r="D6" s="16" t="s">
        <v>41</v>
      </c>
      <c r="E6" s="1" t="s">
        <v>16</v>
      </c>
      <c r="F6" s="1" t="s">
        <v>12</v>
      </c>
      <c r="G6" s="1">
        <v>2</v>
      </c>
      <c r="H6" s="17">
        <v>44668</v>
      </c>
      <c r="I6" s="17"/>
      <c r="J6" s="29" t="s">
        <v>42</v>
      </c>
      <c r="K6" s="2">
        <f>LEN(F6)</f>
        <v>4</v>
      </c>
      <c r="L6" s="2" t="e">
        <f>FIND("I",D6,1)</f>
        <v>#VALUE!</v>
      </c>
      <c r="M6" s="2">
        <f>SEARCH("I",D6,1)</f>
        <v>2</v>
      </c>
      <c r="N6" s="2">
        <f>FIND(" ",D6,1)</f>
        <v>5</v>
      </c>
      <c r="O6" s="2">
        <f>SEARCH(" ",D6,1)</f>
        <v>5</v>
      </c>
    </row>
    <row r="7" spans="1:15" x14ac:dyDescent="0.3">
      <c r="A7" s="1" t="s">
        <v>58</v>
      </c>
      <c r="B7" s="1" t="s">
        <v>90</v>
      </c>
      <c r="C7" s="1" t="s">
        <v>91</v>
      </c>
      <c r="D7" s="16" t="s">
        <v>59</v>
      </c>
      <c r="E7" s="1" t="s">
        <v>16</v>
      </c>
      <c r="F7" s="1" t="s">
        <v>17</v>
      </c>
      <c r="G7" s="1">
        <v>2</v>
      </c>
      <c r="H7" s="17">
        <v>44448</v>
      </c>
      <c r="I7" s="17"/>
      <c r="J7" s="29" t="s">
        <v>60</v>
      </c>
      <c r="K7" s="2">
        <f t="shared" ref="K7:K25" si="0">LEN(F7)</f>
        <v>4</v>
      </c>
      <c r="L7" s="2" t="e">
        <f t="shared" ref="L7:L25" si="1">FIND("I",D7,1)</f>
        <v>#VALUE!</v>
      </c>
      <c r="M7" s="2">
        <f t="shared" ref="M7:M25" si="2">SEARCH("I",D7,1)</f>
        <v>4</v>
      </c>
      <c r="N7" s="2">
        <f t="shared" ref="N7:N25" si="3">FIND(" ",D7,1)</f>
        <v>7</v>
      </c>
      <c r="O7" s="2">
        <f t="shared" ref="O7:O25" si="4">SEARCH(" ",D7,1)</f>
        <v>7</v>
      </c>
    </row>
    <row r="8" spans="1:15" x14ac:dyDescent="0.3">
      <c r="A8" s="1" t="s">
        <v>31</v>
      </c>
      <c r="B8" s="1" t="s">
        <v>92</v>
      </c>
      <c r="C8" s="1" t="s">
        <v>93</v>
      </c>
      <c r="D8" s="16" t="s">
        <v>32</v>
      </c>
      <c r="E8" s="1" t="s">
        <v>16</v>
      </c>
      <c r="F8" s="1" t="s">
        <v>22</v>
      </c>
      <c r="G8" s="1">
        <v>3</v>
      </c>
      <c r="H8" s="17">
        <v>44359</v>
      </c>
      <c r="I8" s="17"/>
      <c r="J8" s="29" t="s">
        <v>33</v>
      </c>
      <c r="K8" s="2">
        <f t="shared" si="0"/>
        <v>5</v>
      </c>
      <c r="L8" s="2" t="e">
        <f t="shared" si="1"/>
        <v>#VALUE!</v>
      </c>
      <c r="M8" s="2" t="e">
        <f t="shared" si="2"/>
        <v>#VALUE!</v>
      </c>
      <c r="N8" s="2">
        <f t="shared" si="3"/>
        <v>5</v>
      </c>
      <c r="O8" s="2">
        <f t="shared" si="4"/>
        <v>5</v>
      </c>
    </row>
    <row r="9" spans="1:15" x14ac:dyDescent="0.3">
      <c r="A9" s="1" t="s">
        <v>67</v>
      </c>
      <c r="B9" s="1" t="s">
        <v>94</v>
      </c>
      <c r="C9" s="1" t="s">
        <v>95</v>
      </c>
      <c r="D9" s="16" t="s">
        <v>68</v>
      </c>
      <c r="E9" s="1" t="s">
        <v>16</v>
      </c>
      <c r="F9" s="1" t="s">
        <v>22</v>
      </c>
      <c r="G9" s="1">
        <v>3</v>
      </c>
      <c r="H9" s="17">
        <v>44620</v>
      </c>
      <c r="I9" s="17"/>
      <c r="J9" s="29" t="s">
        <v>69</v>
      </c>
      <c r="K9" s="2">
        <f t="shared" si="0"/>
        <v>5</v>
      </c>
      <c r="L9" s="2" t="e">
        <f t="shared" si="1"/>
        <v>#VALUE!</v>
      </c>
      <c r="M9" s="2">
        <f t="shared" si="2"/>
        <v>3</v>
      </c>
      <c r="N9" s="2">
        <f t="shared" si="3"/>
        <v>7</v>
      </c>
      <c r="O9" s="2">
        <f t="shared" si="4"/>
        <v>7</v>
      </c>
    </row>
    <row r="10" spans="1:15" x14ac:dyDescent="0.3">
      <c r="A10" s="1" t="s">
        <v>49</v>
      </c>
      <c r="B10" s="1" t="s">
        <v>96</v>
      </c>
      <c r="C10" s="1" t="s">
        <v>97</v>
      </c>
      <c r="D10" s="16" t="s">
        <v>50</v>
      </c>
      <c r="E10" s="1" t="s">
        <v>16</v>
      </c>
      <c r="F10" s="1" t="s">
        <v>26</v>
      </c>
      <c r="G10" s="1">
        <v>3</v>
      </c>
      <c r="H10" s="17">
        <v>44115</v>
      </c>
      <c r="I10" s="17"/>
      <c r="J10" s="29" t="s">
        <v>51</v>
      </c>
      <c r="K10" s="2">
        <f t="shared" si="0"/>
        <v>5</v>
      </c>
      <c r="L10" s="2" t="e">
        <f t="shared" si="1"/>
        <v>#VALUE!</v>
      </c>
      <c r="M10" s="2">
        <f t="shared" si="2"/>
        <v>10</v>
      </c>
      <c r="N10" s="2">
        <f t="shared" si="3"/>
        <v>5</v>
      </c>
      <c r="O10" s="2">
        <f t="shared" si="4"/>
        <v>5</v>
      </c>
    </row>
    <row r="11" spans="1:15" x14ac:dyDescent="0.3">
      <c r="A11" s="1" t="s">
        <v>14</v>
      </c>
      <c r="B11" s="1" t="s">
        <v>98</v>
      </c>
      <c r="C11" s="1" t="s">
        <v>99</v>
      </c>
      <c r="D11" s="16" t="s">
        <v>15</v>
      </c>
      <c r="E11" s="1" t="s">
        <v>16</v>
      </c>
      <c r="F11" s="1" t="s">
        <v>17</v>
      </c>
      <c r="G11" s="1">
        <v>3</v>
      </c>
      <c r="H11" s="17">
        <v>44022</v>
      </c>
      <c r="I11" s="17"/>
      <c r="J11" s="29" t="s">
        <v>18</v>
      </c>
      <c r="K11" s="2">
        <f t="shared" si="0"/>
        <v>4</v>
      </c>
      <c r="L11" s="2" t="e">
        <f t="shared" si="1"/>
        <v>#VALUE!</v>
      </c>
      <c r="M11" s="2" t="e">
        <f t="shared" si="2"/>
        <v>#VALUE!</v>
      </c>
      <c r="N11" s="2">
        <f t="shared" si="3"/>
        <v>5</v>
      </c>
      <c r="O11" s="2">
        <f t="shared" si="4"/>
        <v>5</v>
      </c>
    </row>
    <row r="12" spans="1:15" x14ac:dyDescent="0.3">
      <c r="A12" s="1" t="s">
        <v>70</v>
      </c>
      <c r="B12" s="1" t="s">
        <v>100</v>
      </c>
      <c r="C12" s="1" t="s">
        <v>101</v>
      </c>
      <c r="D12" s="16" t="s">
        <v>71</v>
      </c>
      <c r="E12" s="1" t="s">
        <v>11</v>
      </c>
      <c r="F12" s="1" t="s">
        <v>17</v>
      </c>
      <c r="G12" s="1">
        <v>4</v>
      </c>
      <c r="H12" s="17">
        <v>44329</v>
      </c>
      <c r="I12" s="17"/>
      <c r="J12" s="29" t="s">
        <v>72</v>
      </c>
      <c r="K12" s="2">
        <f t="shared" si="0"/>
        <v>4</v>
      </c>
      <c r="L12" s="2" t="e">
        <f t="shared" si="1"/>
        <v>#VALUE!</v>
      </c>
      <c r="M12" s="2" t="e">
        <f t="shared" si="2"/>
        <v>#VALUE!</v>
      </c>
      <c r="N12" s="2">
        <f t="shared" si="3"/>
        <v>6</v>
      </c>
      <c r="O12" s="2">
        <f t="shared" si="4"/>
        <v>6</v>
      </c>
    </row>
    <row r="13" spans="1:15" x14ac:dyDescent="0.3">
      <c r="A13" s="1" t="s">
        <v>34</v>
      </c>
      <c r="B13" s="1" t="s">
        <v>102</v>
      </c>
      <c r="C13" s="1" t="s">
        <v>103</v>
      </c>
      <c r="D13" s="16" t="s">
        <v>35</v>
      </c>
      <c r="E13" s="1" t="s">
        <v>11</v>
      </c>
      <c r="F13" s="1" t="s">
        <v>17</v>
      </c>
      <c r="G13" s="1">
        <v>4</v>
      </c>
      <c r="H13" s="17">
        <v>43886</v>
      </c>
      <c r="I13" s="17"/>
      <c r="J13" s="29" t="s">
        <v>36</v>
      </c>
      <c r="K13" s="2">
        <f t="shared" si="0"/>
        <v>4</v>
      </c>
      <c r="L13" s="2" t="e">
        <f t="shared" si="1"/>
        <v>#VALUE!</v>
      </c>
      <c r="M13" s="2">
        <f t="shared" si="2"/>
        <v>4</v>
      </c>
      <c r="N13" s="2">
        <f t="shared" si="3"/>
        <v>6</v>
      </c>
      <c r="O13" s="2">
        <f t="shared" si="4"/>
        <v>6</v>
      </c>
    </row>
    <row r="14" spans="1:15" x14ac:dyDescent="0.3">
      <c r="A14" s="1" t="s">
        <v>43</v>
      </c>
      <c r="B14" s="1" t="s">
        <v>104</v>
      </c>
      <c r="C14" s="1" t="s">
        <v>105</v>
      </c>
      <c r="D14" s="16" t="s">
        <v>44</v>
      </c>
      <c r="E14" s="1" t="s">
        <v>11</v>
      </c>
      <c r="F14" s="1" t="s">
        <v>22</v>
      </c>
      <c r="G14" s="1">
        <v>4</v>
      </c>
      <c r="H14" s="17">
        <v>44531</v>
      </c>
      <c r="I14" s="17"/>
      <c r="J14" s="29" t="s">
        <v>45</v>
      </c>
      <c r="K14" s="2">
        <f t="shared" si="0"/>
        <v>5</v>
      </c>
      <c r="L14" s="2" t="e">
        <f t="shared" si="1"/>
        <v>#VALUE!</v>
      </c>
      <c r="M14" s="2" t="e">
        <f t="shared" si="2"/>
        <v>#VALUE!</v>
      </c>
      <c r="N14" s="2">
        <f t="shared" si="3"/>
        <v>4</v>
      </c>
      <c r="O14" s="2">
        <f t="shared" si="4"/>
        <v>4</v>
      </c>
    </row>
    <row r="15" spans="1:15" x14ac:dyDescent="0.3">
      <c r="A15" s="1" t="s">
        <v>24</v>
      </c>
      <c r="B15" s="1" t="s">
        <v>106</v>
      </c>
      <c r="C15" s="1" t="s">
        <v>107</v>
      </c>
      <c r="D15" s="16" t="s">
        <v>25</v>
      </c>
      <c r="E15" s="1" t="s">
        <v>11</v>
      </c>
      <c r="F15" s="1" t="s">
        <v>26</v>
      </c>
      <c r="G15" s="1">
        <v>4</v>
      </c>
      <c r="H15" s="17">
        <v>44566</v>
      </c>
      <c r="I15" s="17"/>
      <c r="J15" s="29" t="s">
        <v>27</v>
      </c>
      <c r="K15" s="2">
        <f t="shared" si="0"/>
        <v>5</v>
      </c>
      <c r="L15" s="2" t="e">
        <f t="shared" si="1"/>
        <v>#VALUE!</v>
      </c>
      <c r="M15" s="2">
        <f t="shared" si="2"/>
        <v>3</v>
      </c>
      <c r="N15" s="2">
        <f t="shared" si="3"/>
        <v>6</v>
      </c>
      <c r="O15" s="2">
        <f t="shared" si="4"/>
        <v>6</v>
      </c>
    </row>
    <row r="16" spans="1:15" x14ac:dyDescent="0.3">
      <c r="A16" s="1" t="s">
        <v>52</v>
      </c>
      <c r="B16" s="1" t="s">
        <v>108</v>
      </c>
      <c r="C16" s="1" t="s">
        <v>109</v>
      </c>
      <c r="D16" s="16" t="s">
        <v>53</v>
      </c>
      <c r="E16" s="1" t="s">
        <v>11</v>
      </c>
      <c r="F16" s="1" t="s">
        <v>12</v>
      </c>
      <c r="G16" s="1">
        <v>4</v>
      </c>
      <c r="H16" s="17">
        <v>43527</v>
      </c>
      <c r="I16" s="17"/>
      <c r="J16" s="29" t="s">
        <v>54</v>
      </c>
      <c r="K16" s="2">
        <f t="shared" si="0"/>
        <v>4</v>
      </c>
      <c r="L16" s="2" t="e">
        <f t="shared" si="1"/>
        <v>#VALUE!</v>
      </c>
      <c r="M16" s="2">
        <f t="shared" si="2"/>
        <v>4</v>
      </c>
      <c r="N16" s="2">
        <f t="shared" si="3"/>
        <v>6</v>
      </c>
      <c r="O16" s="2">
        <f t="shared" si="4"/>
        <v>6</v>
      </c>
    </row>
    <row r="17" spans="1:15" x14ac:dyDescent="0.3">
      <c r="A17" s="1" t="s">
        <v>61</v>
      </c>
      <c r="B17" s="1" t="s">
        <v>110</v>
      </c>
      <c r="C17" s="1" t="s">
        <v>111</v>
      </c>
      <c r="D17" s="16" t="s">
        <v>62</v>
      </c>
      <c r="E17" s="1" t="s">
        <v>11</v>
      </c>
      <c r="F17" s="1" t="s">
        <v>26</v>
      </c>
      <c r="G17" s="1">
        <v>4</v>
      </c>
      <c r="H17" s="17">
        <v>43849</v>
      </c>
      <c r="I17" s="17"/>
      <c r="J17" s="29" t="s">
        <v>63</v>
      </c>
      <c r="K17" s="2">
        <f t="shared" si="0"/>
        <v>5</v>
      </c>
      <c r="L17" s="2" t="e">
        <f t="shared" si="1"/>
        <v>#VALUE!</v>
      </c>
      <c r="M17" s="2">
        <f t="shared" si="2"/>
        <v>5</v>
      </c>
      <c r="N17" s="2">
        <f t="shared" si="3"/>
        <v>7</v>
      </c>
      <c r="O17" s="2">
        <f t="shared" si="4"/>
        <v>7</v>
      </c>
    </row>
    <row r="18" spans="1:15" x14ac:dyDescent="0.3">
      <c r="A18" s="1" t="s">
        <v>9</v>
      </c>
      <c r="B18" s="1" t="s">
        <v>112</v>
      </c>
      <c r="C18" s="1" t="s">
        <v>113</v>
      </c>
      <c r="D18" s="16" t="s">
        <v>10</v>
      </c>
      <c r="E18" s="1" t="s">
        <v>11</v>
      </c>
      <c r="F18" s="1" t="s">
        <v>12</v>
      </c>
      <c r="G18" s="1">
        <v>4</v>
      </c>
      <c r="H18" s="17">
        <v>44270</v>
      </c>
      <c r="I18" s="17"/>
      <c r="J18" s="29" t="s">
        <v>13</v>
      </c>
      <c r="K18" s="2">
        <f t="shared" si="0"/>
        <v>4</v>
      </c>
      <c r="L18" s="2" t="e">
        <f t="shared" si="1"/>
        <v>#VALUE!</v>
      </c>
      <c r="M18" s="2">
        <f t="shared" si="2"/>
        <v>8</v>
      </c>
      <c r="N18" s="2">
        <f t="shared" si="3"/>
        <v>5</v>
      </c>
      <c r="O18" s="2">
        <f t="shared" si="4"/>
        <v>5</v>
      </c>
    </row>
    <row r="19" spans="1:15" x14ac:dyDescent="0.3">
      <c r="A19" s="1" t="s">
        <v>37</v>
      </c>
      <c r="B19" s="1" t="s">
        <v>114</v>
      </c>
      <c r="C19" s="1" t="s">
        <v>115</v>
      </c>
      <c r="D19" s="16" t="s">
        <v>38</v>
      </c>
      <c r="E19" s="1" t="s">
        <v>21</v>
      </c>
      <c r="F19" s="1" t="s">
        <v>26</v>
      </c>
      <c r="G19" s="1">
        <v>5</v>
      </c>
      <c r="H19" s="17">
        <v>43707</v>
      </c>
      <c r="I19" s="17"/>
      <c r="J19" s="29" t="s">
        <v>39</v>
      </c>
      <c r="K19" s="2">
        <f t="shared" si="0"/>
        <v>5</v>
      </c>
      <c r="L19" s="2" t="e">
        <f t="shared" si="1"/>
        <v>#VALUE!</v>
      </c>
      <c r="M19" s="2">
        <f t="shared" si="2"/>
        <v>4</v>
      </c>
      <c r="N19" s="2">
        <f t="shared" si="3"/>
        <v>6</v>
      </c>
      <c r="O19" s="2">
        <f t="shared" si="4"/>
        <v>6</v>
      </c>
    </row>
    <row r="20" spans="1:15" x14ac:dyDescent="0.3">
      <c r="A20" s="1" t="s">
        <v>19</v>
      </c>
      <c r="B20" s="1" t="s">
        <v>116</v>
      </c>
      <c r="C20" s="1" t="s">
        <v>117</v>
      </c>
      <c r="D20" s="16" t="s">
        <v>20</v>
      </c>
      <c r="E20" s="1" t="s">
        <v>21</v>
      </c>
      <c r="F20" s="1" t="s">
        <v>22</v>
      </c>
      <c r="G20" s="1">
        <v>5</v>
      </c>
      <c r="H20" s="17">
        <v>43791</v>
      </c>
      <c r="I20" s="17"/>
      <c r="J20" s="29" t="s">
        <v>23</v>
      </c>
      <c r="K20" s="2">
        <f t="shared" si="0"/>
        <v>5</v>
      </c>
      <c r="L20" s="2" t="e">
        <f t="shared" si="1"/>
        <v>#VALUE!</v>
      </c>
      <c r="M20" s="2">
        <f t="shared" si="2"/>
        <v>2</v>
      </c>
      <c r="N20" s="2">
        <f t="shared" si="3"/>
        <v>5</v>
      </c>
      <c r="O20" s="2">
        <f t="shared" si="4"/>
        <v>5</v>
      </c>
    </row>
    <row r="21" spans="1:15" x14ac:dyDescent="0.3">
      <c r="A21" s="1" t="s">
        <v>64</v>
      </c>
      <c r="B21" s="1" t="s">
        <v>118</v>
      </c>
      <c r="C21" s="1" t="s">
        <v>119</v>
      </c>
      <c r="D21" s="16" t="s">
        <v>65</v>
      </c>
      <c r="E21" s="1" t="s">
        <v>21</v>
      </c>
      <c r="F21" s="1" t="s">
        <v>12</v>
      </c>
      <c r="G21" s="1">
        <v>5</v>
      </c>
      <c r="H21" s="17">
        <v>43622</v>
      </c>
      <c r="I21" s="17"/>
      <c r="J21" s="29" t="s">
        <v>66</v>
      </c>
      <c r="K21" s="2">
        <f t="shared" si="0"/>
        <v>4</v>
      </c>
      <c r="L21" s="2" t="e">
        <f t="shared" si="1"/>
        <v>#VALUE!</v>
      </c>
      <c r="M21" s="2" t="e">
        <f t="shared" si="2"/>
        <v>#VALUE!</v>
      </c>
      <c r="N21" s="2">
        <f t="shared" si="3"/>
        <v>6</v>
      </c>
      <c r="O21" s="2">
        <f t="shared" si="4"/>
        <v>6</v>
      </c>
    </row>
    <row r="22" spans="1:15" x14ac:dyDescent="0.3">
      <c r="A22" s="1" t="s">
        <v>46</v>
      </c>
      <c r="B22" s="1" t="s">
        <v>120</v>
      </c>
      <c r="C22" s="1" t="s">
        <v>121</v>
      </c>
      <c r="D22" s="16" t="s">
        <v>47</v>
      </c>
      <c r="E22" s="1" t="s">
        <v>21</v>
      </c>
      <c r="F22" s="1" t="s">
        <v>17</v>
      </c>
      <c r="G22" s="1">
        <v>5</v>
      </c>
      <c r="H22" s="17">
        <v>43241</v>
      </c>
      <c r="I22" s="17"/>
      <c r="J22" s="29" t="s">
        <v>48</v>
      </c>
      <c r="K22" s="2">
        <f t="shared" si="0"/>
        <v>4</v>
      </c>
      <c r="L22" s="2" t="e">
        <f t="shared" si="1"/>
        <v>#VALUE!</v>
      </c>
      <c r="M22" s="2">
        <f t="shared" si="2"/>
        <v>2</v>
      </c>
      <c r="N22" s="2">
        <f t="shared" si="3"/>
        <v>5</v>
      </c>
      <c r="O22" s="2">
        <f t="shared" si="4"/>
        <v>5</v>
      </c>
    </row>
    <row r="23" spans="1:15" x14ac:dyDescent="0.3">
      <c r="A23" s="1" t="s">
        <v>73</v>
      </c>
      <c r="B23" s="1" t="s">
        <v>122</v>
      </c>
      <c r="C23" s="1" t="s">
        <v>123</v>
      </c>
      <c r="D23" s="16" t="s">
        <v>74</v>
      </c>
      <c r="E23" s="1" t="s">
        <v>21</v>
      </c>
      <c r="F23" s="1" t="s">
        <v>26</v>
      </c>
      <c r="G23" s="1">
        <v>5</v>
      </c>
      <c r="H23" s="17">
        <v>43458</v>
      </c>
      <c r="I23" s="17"/>
      <c r="J23" s="29" t="s">
        <v>75</v>
      </c>
      <c r="K23" s="2">
        <f t="shared" si="0"/>
        <v>5</v>
      </c>
      <c r="L23" s="2" t="e">
        <f t="shared" si="1"/>
        <v>#VALUE!</v>
      </c>
      <c r="M23" s="2" t="e">
        <f t="shared" si="2"/>
        <v>#VALUE!</v>
      </c>
      <c r="N23" s="2">
        <f t="shared" si="3"/>
        <v>6</v>
      </c>
      <c r="O23" s="2">
        <f t="shared" si="4"/>
        <v>6</v>
      </c>
    </row>
    <row r="24" spans="1:15" x14ac:dyDescent="0.3">
      <c r="A24" s="1" t="s">
        <v>28</v>
      </c>
      <c r="B24" s="1" t="s">
        <v>124</v>
      </c>
      <c r="C24" s="1" t="s">
        <v>125</v>
      </c>
      <c r="D24" s="16" t="s">
        <v>29</v>
      </c>
      <c r="E24" s="1" t="s">
        <v>21</v>
      </c>
      <c r="F24" s="1" t="s">
        <v>12</v>
      </c>
      <c r="G24" s="1">
        <v>5</v>
      </c>
      <c r="H24" s="17">
        <v>43361</v>
      </c>
      <c r="I24" s="17"/>
      <c r="J24" s="29" t="s">
        <v>30</v>
      </c>
      <c r="K24" s="2">
        <f t="shared" si="0"/>
        <v>4</v>
      </c>
      <c r="L24" s="2" t="e">
        <f t="shared" si="1"/>
        <v>#VALUE!</v>
      </c>
      <c r="M24" s="2" t="e">
        <f t="shared" si="2"/>
        <v>#VALUE!</v>
      </c>
      <c r="N24" s="2">
        <f t="shared" si="3"/>
        <v>4</v>
      </c>
      <c r="O24" s="2">
        <f t="shared" si="4"/>
        <v>4</v>
      </c>
    </row>
    <row r="25" spans="1:15" x14ac:dyDescent="0.3">
      <c r="A25" s="1" t="s">
        <v>55</v>
      </c>
      <c r="B25" s="1" t="s">
        <v>126</v>
      </c>
      <c r="C25" s="1" t="s">
        <v>127</v>
      </c>
      <c r="D25" s="16" t="s">
        <v>56</v>
      </c>
      <c r="E25" s="1" t="s">
        <v>21</v>
      </c>
      <c r="F25" s="1" t="s">
        <v>22</v>
      </c>
      <c r="G25" s="1">
        <v>5</v>
      </c>
      <c r="H25" s="17">
        <v>42930</v>
      </c>
      <c r="I25" s="17"/>
      <c r="J25" s="29" t="s">
        <v>57</v>
      </c>
      <c r="K25" s="2">
        <f t="shared" si="0"/>
        <v>5</v>
      </c>
      <c r="L25" s="2" t="e">
        <f t="shared" si="1"/>
        <v>#VALUE!</v>
      </c>
      <c r="M25" s="2">
        <f t="shared" si="2"/>
        <v>3</v>
      </c>
      <c r="N25" s="2">
        <f t="shared" si="3"/>
        <v>6</v>
      </c>
      <c r="O25" s="2">
        <f t="shared" si="4"/>
        <v>6</v>
      </c>
    </row>
    <row r="26" spans="1:15" x14ac:dyDescent="0.3">
      <c r="F26" s="2" t="e">
        <f>SUM(#REF!)</f>
        <v>#REF!</v>
      </c>
    </row>
  </sheetData>
  <hyperlinks>
    <hyperlink ref="J18" r:id="rId1" display="mailto:john.smith@email.com"/>
    <hyperlink ref="J11" r:id="rId2" display="mailto:sara.khan@email.com"/>
    <hyperlink ref="J20" r:id="rId3" display="mailto:mike.j@email.com"/>
    <hyperlink ref="J15" r:id="rId4" display="mailto:emily.d@email.com"/>
    <hyperlink ref="J24" r:id="rId5" display="mailto:raj.patel@email.com"/>
    <hyperlink ref="J8" r:id="rId6" display="mailto:anna.lee@email.com"/>
    <hyperlink ref="J13" r:id="rId7" display="mailto:chris.b@email.com"/>
    <hyperlink ref="J19" r:id="rId8" display="mailto:david.w@email.com"/>
    <hyperlink ref="J6" r:id="rId9"/>
    <hyperlink ref="J14" r:id="rId10" display="mailto:tom.a@email.com"/>
    <hyperlink ref="J22" r:id="rId11" display="mailto:nina.g@email.com"/>
    <hyperlink ref="J10" r:id="rId12" display="mailto:alex.m@email.com"/>
    <hyperlink ref="J16" r:id="rId13" display="mailto:kevin.w@email.com"/>
    <hyperlink ref="J25" r:id="rId14" display="mailto:priya.s@email.com"/>
    <hyperlink ref="J7" r:id="rId15" display="mailto:daniel.c@email.com"/>
    <hyperlink ref="J17" r:id="rId16" display="mailto:sophia.l@email.com"/>
    <hyperlink ref="J21" r:id="rId17" display="mailto:james.w@email.com"/>
    <hyperlink ref="J9" r:id="rId18" display="mailto:olivia.h@email.com"/>
    <hyperlink ref="J12" r:id="rId19" display="mailto:ethan.a@email.com"/>
    <hyperlink ref="J23" r:id="rId20" display="mailto:chloe.y@email.com"/>
  </hyperlinks>
  <pageMargins left="0.7" right="0.7" top="0.75" bottom="0.75" header="0.3" footer="0.3"/>
  <pageSetup orientation="portrait"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topLeftCell="D1" zoomScale="90" zoomScaleNormal="90" workbookViewId="0">
      <selection activeCell="B1" sqref="A1:XFD1048576"/>
    </sheetView>
  </sheetViews>
  <sheetFormatPr defaultRowHeight="15.6" x14ac:dyDescent="0.3"/>
  <cols>
    <col min="1" max="1" width="7.5546875" style="2" bestFit="1" customWidth="1"/>
    <col min="2" max="2" width="11.44140625" style="2" bestFit="1" customWidth="1"/>
    <col min="3" max="3" width="11.21875" style="2" bestFit="1" customWidth="1"/>
    <col min="4" max="4" width="15.21875" style="2" bestFit="1" customWidth="1"/>
    <col min="5" max="6" width="5.88671875" style="2" bestFit="1" customWidth="1"/>
    <col min="7" max="7" width="7.77734375" style="2" bestFit="1" customWidth="1"/>
    <col min="8" max="9" width="7.44140625" style="2" bestFit="1" customWidth="1"/>
    <col min="10" max="10" width="11.44140625" style="2" bestFit="1" customWidth="1"/>
    <col min="11" max="11" width="11.21875" style="2" hidden="1" customWidth="1"/>
    <col min="12" max="12" width="23.44140625" style="2" bestFit="1" customWidth="1"/>
    <col min="13" max="13" width="24.88671875" style="2" bestFit="1" customWidth="1"/>
    <col min="14" max="14" width="12.6640625" style="2" bestFit="1" customWidth="1"/>
    <col min="15" max="15" width="19.109375" style="2" bestFit="1" customWidth="1"/>
    <col min="16" max="16" width="50.44140625" style="2" bestFit="1" customWidth="1"/>
    <col min="17" max="17" width="28.33203125" style="2" bestFit="1" customWidth="1"/>
    <col min="18" max="18" width="4.88671875" style="2" bestFit="1" customWidth="1"/>
    <col min="19" max="19" width="28.5546875" style="2" bestFit="1" customWidth="1"/>
    <col min="20" max="20" width="12.21875" style="2" bestFit="1" customWidth="1"/>
    <col min="21" max="21" width="10" style="2" bestFit="1" customWidth="1"/>
    <col min="22" max="22" width="44.6640625" style="2" bestFit="1" customWidth="1"/>
    <col min="23" max="23" width="24.21875" style="2" bestFit="1" customWidth="1"/>
    <col min="24" max="24" width="26.88671875" style="2" bestFit="1" customWidth="1"/>
    <col min="25" max="25" width="21.6640625" style="2" bestFit="1" customWidth="1"/>
    <col min="26" max="26" width="11" style="2" bestFit="1" customWidth="1"/>
    <col min="27" max="27" width="16.6640625" style="2" bestFit="1" customWidth="1"/>
    <col min="28" max="16384" width="8.88671875" style="2"/>
  </cols>
  <sheetData>
    <row r="1" spans="1:24" x14ac:dyDescent="0.3">
      <c r="L1" s="3" t="s">
        <v>86</v>
      </c>
      <c r="M1" s="1" t="s">
        <v>175</v>
      </c>
      <c r="N1" s="1" t="s">
        <v>178</v>
      </c>
      <c r="O1" s="1" t="s">
        <v>180</v>
      </c>
      <c r="P1" s="2" t="s">
        <v>209</v>
      </c>
      <c r="S1" s="30" t="s">
        <v>132</v>
      </c>
      <c r="T1" s="30"/>
      <c r="U1" s="30"/>
      <c r="V1" s="30"/>
      <c r="W1" s="53" t="s">
        <v>135</v>
      </c>
      <c r="X1" s="53"/>
    </row>
    <row r="2" spans="1:24" x14ac:dyDescent="0.3">
      <c r="L2" s="3"/>
      <c r="M2" s="1"/>
      <c r="N2" s="1"/>
      <c r="O2" s="1"/>
      <c r="S2" s="30"/>
      <c r="T2" s="30"/>
      <c r="U2" s="30"/>
      <c r="V2" s="30"/>
      <c r="W2" s="33"/>
      <c r="X2" s="33"/>
    </row>
    <row r="3" spans="1:24" x14ac:dyDescent="0.3">
      <c r="L3" s="3"/>
      <c r="M3" s="1"/>
      <c r="N3" s="1"/>
      <c r="O3" s="1"/>
      <c r="S3" s="30"/>
      <c r="T3" s="30"/>
      <c r="U3" s="30"/>
      <c r="V3" s="30"/>
      <c r="W3" s="33"/>
      <c r="X3" s="33"/>
    </row>
    <row r="4" spans="1:24" x14ac:dyDescent="0.3">
      <c r="A4" s="6" t="s">
        <v>0</v>
      </c>
      <c r="B4" s="6" t="s">
        <v>87</v>
      </c>
      <c r="C4" s="6" t="s">
        <v>128</v>
      </c>
      <c r="D4" s="6" t="s">
        <v>129</v>
      </c>
      <c r="E4" s="6" t="s">
        <v>2</v>
      </c>
      <c r="F4" s="6" t="s">
        <v>2</v>
      </c>
      <c r="G4" s="6" t="s">
        <v>3</v>
      </c>
      <c r="H4" s="6" t="s">
        <v>6</v>
      </c>
      <c r="I4" s="6" t="s">
        <v>6</v>
      </c>
      <c r="J4" s="6" t="s">
        <v>7</v>
      </c>
      <c r="K4" s="6"/>
      <c r="L4" s="6" t="s">
        <v>8</v>
      </c>
      <c r="M4" s="6"/>
      <c r="N4" s="1"/>
      <c r="O4" s="3"/>
      <c r="P4" s="6"/>
      <c r="Q4" s="6"/>
      <c r="R4" s="6"/>
      <c r="S4" s="6"/>
      <c r="T4" s="6"/>
      <c r="U4" s="6"/>
      <c r="V4" s="6"/>
      <c r="W4" s="6"/>
      <c r="X4" s="6"/>
    </row>
    <row r="5" spans="1:24" x14ac:dyDescent="0.3">
      <c r="A5" s="1" t="s">
        <v>40</v>
      </c>
      <c r="B5" s="1" t="s">
        <v>88</v>
      </c>
      <c r="C5" s="1" t="s">
        <v>89</v>
      </c>
      <c r="D5" s="16" t="s">
        <v>41</v>
      </c>
      <c r="E5" s="1" t="s">
        <v>16</v>
      </c>
      <c r="F5" s="1" t="s">
        <v>16</v>
      </c>
      <c r="G5" s="1" t="s">
        <v>12</v>
      </c>
      <c r="H5" s="31" t="s">
        <v>205</v>
      </c>
      <c r="I5" s="32">
        <v>2</v>
      </c>
      <c r="J5" s="17">
        <v>44668</v>
      </c>
      <c r="K5" s="17"/>
      <c r="L5" s="29" t="s">
        <v>42</v>
      </c>
      <c r="M5" s="2" t="str">
        <f>TEXT(I5,"00")</f>
        <v>02</v>
      </c>
      <c r="N5" s="2">
        <f>VALUE(H5)</f>
        <v>2</v>
      </c>
      <c r="O5" s="2" t="b">
        <f>EXACT(E5,F5)</f>
        <v>1</v>
      </c>
      <c r="P5" s="2" t="b">
        <f>E5=F5</f>
        <v>1</v>
      </c>
    </row>
    <row r="6" spans="1:24" x14ac:dyDescent="0.3">
      <c r="A6" s="1" t="s">
        <v>58</v>
      </c>
      <c r="B6" s="1" t="s">
        <v>90</v>
      </c>
      <c r="C6" s="1" t="s">
        <v>91</v>
      </c>
      <c r="D6" s="16" t="s">
        <v>59</v>
      </c>
      <c r="E6" s="1" t="s">
        <v>16</v>
      </c>
      <c r="F6" s="1" t="s">
        <v>208</v>
      </c>
      <c r="G6" s="1" t="s">
        <v>17</v>
      </c>
      <c r="H6" s="31" t="s">
        <v>205</v>
      </c>
      <c r="I6" s="32">
        <v>2</v>
      </c>
      <c r="J6" s="17">
        <v>44448</v>
      </c>
      <c r="K6" s="17"/>
      <c r="L6" s="29" t="s">
        <v>60</v>
      </c>
      <c r="M6" s="2" t="str">
        <f t="shared" ref="M6:M24" si="0">TEXT(I6,"00")</f>
        <v>02</v>
      </c>
      <c r="N6" s="2">
        <f>VALUE(H6)</f>
        <v>2</v>
      </c>
      <c r="O6" s="2" t="b">
        <f>EXACT(E6,F6)</f>
        <v>0</v>
      </c>
      <c r="P6" s="2" t="b">
        <f>E6=F6</f>
        <v>1</v>
      </c>
    </row>
    <row r="7" spans="1:24" x14ac:dyDescent="0.3">
      <c r="A7" s="1" t="s">
        <v>31</v>
      </c>
      <c r="B7" s="1" t="s">
        <v>92</v>
      </c>
      <c r="C7" s="1" t="s">
        <v>93</v>
      </c>
      <c r="D7" s="16" t="s">
        <v>32</v>
      </c>
      <c r="E7" s="1" t="s">
        <v>16</v>
      </c>
      <c r="F7" s="1" t="s">
        <v>16</v>
      </c>
      <c r="G7" s="1" t="s">
        <v>22</v>
      </c>
      <c r="H7" s="31" t="s">
        <v>206</v>
      </c>
      <c r="I7" s="32">
        <v>3</v>
      </c>
      <c r="J7" s="17">
        <v>44359</v>
      </c>
      <c r="K7" s="17"/>
      <c r="L7" s="29" t="s">
        <v>33</v>
      </c>
      <c r="M7" s="2" t="str">
        <f t="shared" si="0"/>
        <v>03</v>
      </c>
      <c r="N7" s="2">
        <f t="shared" ref="N7:N24" si="1">VALUE(H7)</f>
        <v>3</v>
      </c>
    </row>
    <row r="8" spans="1:24" x14ac:dyDescent="0.3">
      <c r="A8" s="1" t="s">
        <v>67</v>
      </c>
      <c r="B8" s="1" t="s">
        <v>94</v>
      </c>
      <c r="C8" s="1" t="s">
        <v>95</v>
      </c>
      <c r="D8" s="16" t="s">
        <v>68</v>
      </c>
      <c r="E8" s="1" t="s">
        <v>16</v>
      </c>
      <c r="F8" s="1" t="s">
        <v>16</v>
      </c>
      <c r="G8" s="1" t="s">
        <v>22</v>
      </c>
      <c r="H8" s="31" t="s">
        <v>206</v>
      </c>
      <c r="I8" s="32">
        <v>3</v>
      </c>
      <c r="J8" s="17">
        <v>44620</v>
      </c>
      <c r="K8" s="17"/>
      <c r="L8" s="29" t="s">
        <v>69</v>
      </c>
      <c r="M8" s="2" t="str">
        <f t="shared" si="0"/>
        <v>03</v>
      </c>
      <c r="N8" s="2">
        <f t="shared" si="1"/>
        <v>3</v>
      </c>
    </row>
    <row r="9" spans="1:24" x14ac:dyDescent="0.3">
      <c r="A9" s="1" t="s">
        <v>49</v>
      </c>
      <c r="B9" s="1" t="s">
        <v>96</v>
      </c>
      <c r="C9" s="1" t="s">
        <v>97</v>
      </c>
      <c r="D9" s="16" t="s">
        <v>50</v>
      </c>
      <c r="E9" s="1" t="s">
        <v>16</v>
      </c>
      <c r="F9" s="1" t="s">
        <v>16</v>
      </c>
      <c r="G9" s="1" t="s">
        <v>26</v>
      </c>
      <c r="H9" s="31" t="s">
        <v>206</v>
      </c>
      <c r="I9" s="32">
        <v>3</v>
      </c>
      <c r="J9" s="17">
        <v>44115</v>
      </c>
      <c r="K9" s="17"/>
      <c r="L9" s="29" t="s">
        <v>51</v>
      </c>
      <c r="M9" s="2" t="str">
        <f t="shared" si="0"/>
        <v>03</v>
      </c>
      <c r="N9" s="2">
        <f t="shared" si="1"/>
        <v>3</v>
      </c>
    </row>
    <row r="10" spans="1:24" x14ac:dyDescent="0.3">
      <c r="A10" s="1" t="s">
        <v>14</v>
      </c>
      <c r="B10" s="1" t="s">
        <v>98</v>
      </c>
      <c r="C10" s="1" t="s">
        <v>99</v>
      </c>
      <c r="D10" s="16" t="s">
        <v>15</v>
      </c>
      <c r="E10" s="1" t="s">
        <v>16</v>
      </c>
      <c r="F10" s="1" t="s">
        <v>16</v>
      </c>
      <c r="G10" s="1" t="s">
        <v>17</v>
      </c>
      <c r="H10" s="31" t="s">
        <v>206</v>
      </c>
      <c r="I10" s="32">
        <v>3</v>
      </c>
      <c r="J10" s="17">
        <v>44022</v>
      </c>
      <c r="K10" s="17"/>
      <c r="L10" s="29" t="s">
        <v>18</v>
      </c>
      <c r="M10" s="2" t="str">
        <f t="shared" si="0"/>
        <v>03</v>
      </c>
      <c r="N10" s="2">
        <f t="shared" si="1"/>
        <v>3</v>
      </c>
    </row>
    <row r="11" spans="1:24" x14ac:dyDescent="0.3">
      <c r="A11" s="1" t="s">
        <v>70</v>
      </c>
      <c r="B11" s="1" t="s">
        <v>100</v>
      </c>
      <c r="C11" s="1" t="s">
        <v>101</v>
      </c>
      <c r="D11" s="16" t="s">
        <v>71</v>
      </c>
      <c r="E11" s="1" t="s">
        <v>11</v>
      </c>
      <c r="F11" s="1" t="s">
        <v>11</v>
      </c>
      <c r="G11" s="1" t="s">
        <v>17</v>
      </c>
      <c r="H11" s="31" t="s">
        <v>207</v>
      </c>
      <c r="I11" s="32">
        <v>4</v>
      </c>
      <c r="J11" s="17">
        <v>44329</v>
      </c>
      <c r="K11" s="17"/>
      <c r="L11" s="29" t="s">
        <v>72</v>
      </c>
      <c r="M11" s="2" t="str">
        <f t="shared" si="0"/>
        <v>04</v>
      </c>
      <c r="N11" s="2">
        <f t="shared" si="1"/>
        <v>4</v>
      </c>
    </row>
    <row r="12" spans="1:24" x14ac:dyDescent="0.3">
      <c r="A12" s="1" t="s">
        <v>34</v>
      </c>
      <c r="B12" s="1" t="s">
        <v>102</v>
      </c>
      <c r="C12" s="1" t="s">
        <v>103</v>
      </c>
      <c r="D12" s="16" t="s">
        <v>35</v>
      </c>
      <c r="E12" s="1" t="s">
        <v>11</v>
      </c>
      <c r="F12" s="1" t="s">
        <v>11</v>
      </c>
      <c r="G12" s="1" t="s">
        <v>17</v>
      </c>
      <c r="H12" s="31" t="s">
        <v>207</v>
      </c>
      <c r="I12" s="32">
        <v>4</v>
      </c>
      <c r="J12" s="17">
        <v>43886</v>
      </c>
      <c r="K12" s="17"/>
      <c r="L12" s="29" t="s">
        <v>36</v>
      </c>
      <c r="M12" s="2" t="str">
        <f t="shared" si="0"/>
        <v>04</v>
      </c>
      <c r="N12" s="2">
        <f t="shared" si="1"/>
        <v>4</v>
      </c>
    </row>
    <row r="13" spans="1:24" x14ac:dyDescent="0.3">
      <c r="A13" s="1" t="s">
        <v>43</v>
      </c>
      <c r="B13" s="1" t="s">
        <v>104</v>
      </c>
      <c r="C13" s="1" t="s">
        <v>105</v>
      </c>
      <c r="D13" s="16" t="s">
        <v>44</v>
      </c>
      <c r="E13" s="1" t="s">
        <v>11</v>
      </c>
      <c r="F13" s="1" t="s">
        <v>11</v>
      </c>
      <c r="G13" s="1" t="s">
        <v>22</v>
      </c>
      <c r="H13" s="31" t="s">
        <v>207</v>
      </c>
      <c r="I13" s="32">
        <v>4</v>
      </c>
      <c r="J13" s="17">
        <v>44531</v>
      </c>
      <c r="K13" s="17"/>
      <c r="L13" s="29" t="s">
        <v>45</v>
      </c>
      <c r="M13" s="2" t="str">
        <f t="shared" si="0"/>
        <v>04</v>
      </c>
      <c r="N13" s="2">
        <f t="shared" si="1"/>
        <v>4</v>
      </c>
    </row>
    <row r="14" spans="1:24" x14ac:dyDescent="0.3">
      <c r="A14" s="1" t="s">
        <v>24</v>
      </c>
      <c r="B14" s="1" t="s">
        <v>106</v>
      </c>
      <c r="C14" s="1" t="s">
        <v>107</v>
      </c>
      <c r="D14" s="16" t="s">
        <v>25</v>
      </c>
      <c r="E14" s="1" t="s">
        <v>11</v>
      </c>
      <c r="F14" s="1" t="s">
        <v>11</v>
      </c>
      <c r="G14" s="1" t="s">
        <v>26</v>
      </c>
      <c r="H14" s="32">
        <v>4</v>
      </c>
      <c r="I14" s="32">
        <v>4</v>
      </c>
      <c r="J14" s="17">
        <v>44566</v>
      </c>
      <c r="K14" s="17"/>
      <c r="L14" s="29" t="s">
        <v>27</v>
      </c>
      <c r="M14" s="2" t="str">
        <f t="shared" si="0"/>
        <v>04</v>
      </c>
      <c r="N14" s="2">
        <f t="shared" si="1"/>
        <v>4</v>
      </c>
    </row>
    <row r="15" spans="1:24" x14ac:dyDescent="0.3">
      <c r="A15" s="1" t="s">
        <v>52</v>
      </c>
      <c r="B15" s="1" t="s">
        <v>108</v>
      </c>
      <c r="C15" s="1" t="s">
        <v>109</v>
      </c>
      <c r="D15" s="16" t="s">
        <v>53</v>
      </c>
      <c r="E15" s="1" t="s">
        <v>11</v>
      </c>
      <c r="F15" s="1" t="s">
        <v>11</v>
      </c>
      <c r="G15" s="1" t="s">
        <v>12</v>
      </c>
      <c r="H15" s="32">
        <v>4</v>
      </c>
      <c r="I15" s="32">
        <v>4</v>
      </c>
      <c r="J15" s="17">
        <v>43527</v>
      </c>
      <c r="K15" s="17"/>
      <c r="L15" s="29" t="s">
        <v>54</v>
      </c>
      <c r="M15" s="2" t="str">
        <f t="shared" si="0"/>
        <v>04</v>
      </c>
      <c r="N15" s="2">
        <f t="shared" si="1"/>
        <v>4</v>
      </c>
    </row>
    <row r="16" spans="1:24" x14ac:dyDescent="0.3">
      <c r="A16" s="1" t="s">
        <v>61</v>
      </c>
      <c r="B16" s="1" t="s">
        <v>110</v>
      </c>
      <c r="C16" s="1" t="s">
        <v>111</v>
      </c>
      <c r="D16" s="16" t="s">
        <v>62</v>
      </c>
      <c r="E16" s="1" t="s">
        <v>11</v>
      </c>
      <c r="F16" s="1" t="s">
        <v>11</v>
      </c>
      <c r="G16" s="1" t="s">
        <v>26</v>
      </c>
      <c r="H16" s="32">
        <v>4</v>
      </c>
      <c r="I16" s="32">
        <v>4</v>
      </c>
      <c r="J16" s="17">
        <v>43849</v>
      </c>
      <c r="K16" s="17"/>
      <c r="L16" s="29" t="s">
        <v>63</v>
      </c>
      <c r="M16" s="2" t="str">
        <f t="shared" si="0"/>
        <v>04</v>
      </c>
      <c r="N16" s="2">
        <f t="shared" si="1"/>
        <v>4</v>
      </c>
    </row>
    <row r="17" spans="1:14" x14ac:dyDescent="0.3">
      <c r="A17" s="1" t="s">
        <v>9</v>
      </c>
      <c r="B17" s="1" t="s">
        <v>112</v>
      </c>
      <c r="C17" s="1" t="s">
        <v>113</v>
      </c>
      <c r="D17" s="16" t="s">
        <v>10</v>
      </c>
      <c r="E17" s="1" t="s">
        <v>11</v>
      </c>
      <c r="F17" s="1" t="s">
        <v>11</v>
      </c>
      <c r="G17" s="1" t="s">
        <v>12</v>
      </c>
      <c r="H17" s="32">
        <v>4</v>
      </c>
      <c r="I17" s="32">
        <v>4</v>
      </c>
      <c r="J17" s="17">
        <v>44270</v>
      </c>
      <c r="K17" s="17"/>
      <c r="L17" s="29" t="s">
        <v>13</v>
      </c>
      <c r="M17" s="2" t="str">
        <f t="shared" si="0"/>
        <v>04</v>
      </c>
      <c r="N17" s="2">
        <f t="shared" si="1"/>
        <v>4</v>
      </c>
    </row>
    <row r="18" spans="1:14" x14ac:dyDescent="0.3">
      <c r="A18" s="1" t="s">
        <v>37</v>
      </c>
      <c r="B18" s="1" t="s">
        <v>114</v>
      </c>
      <c r="C18" s="1" t="s">
        <v>115</v>
      </c>
      <c r="D18" s="16" t="s">
        <v>38</v>
      </c>
      <c r="E18" s="1" t="s">
        <v>21</v>
      </c>
      <c r="F18" s="1" t="s">
        <v>21</v>
      </c>
      <c r="G18" s="1" t="s">
        <v>26</v>
      </c>
      <c r="H18" s="32">
        <v>5</v>
      </c>
      <c r="I18" s="32">
        <v>5</v>
      </c>
      <c r="J18" s="17">
        <v>43707</v>
      </c>
      <c r="K18" s="17"/>
      <c r="L18" s="29" t="s">
        <v>39</v>
      </c>
      <c r="M18" s="2" t="str">
        <f t="shared" si="0"/>
        <v>05</v>
      </c>
      <c r="N18" s="2">
        <f t="shared" si="1"/>
        <v>5</v>
      </c>
    </row>
    <row r="19" spans="1:14" x14ac:dyDescent="0.3">
      <c r="A19" s="1" t="s">
        <v>19</v>
      </c>
      <c r="B19" s="1" t="s">
        <v>116</v>
      </c>
      <c r="C19" s="1" t="s">
        <v>117</v>
      </c>
      <c r="D19" s="16" t="s">
        <v>20</v>
      </c>
      <c r="E19" s="1" t="s">
        <v>21</v>
      </c>
      <c r="F19" s="1" t="s">
        <v>21</v>
      </c>
      <c r="G19" s="1" t="s">
        <v>22</v>
      </c>
      <c r="H19" s="32">
        <v>5</v>
      </c>
      <c r="I19" s="32">
        <v>5</v>
      </c>
      <c r="J19" s="17">
        <v>43791</v>
      </c>
      <c r="K19" s="17"/>
      <c r="L19" s="29" t="s">
        <v>23</v>
      </c>
      <c r="M19" s="2" t="str">
        <f t="shared" si="0"/>
        <v>05</v>
      </c>
      <c r="N19" s="2">
        <f t="shared" si="1"/>
        <v>5</v>
      </c>
    </row>
    <row r="20" spans="1:14" x14ac:dyDescent="0.3">
      <c r="A20" s="1" t="s">
        <v>64</v>
      </c>
      <c r="B20" s="1" t="s">
        <v>118</v>
      </c>
      <c r="C20" s="1" t="s">
        <v>119</v>
      </c>
      <c r="D20" s="16" t="s">
        <v>65</v>
      </c>
      <c r="E20" s="1" t="s">
        <v>21</v>
      </c>
      <c r="F20" s="1" t="s">
        <v>21</v>
      </c>
      <c r="G20" s="1" t="s">
        <v>12</v>
      </c>
      <c r="H20" s="32">
        <v>5</v>
      </c>
      <c r="I20" s="32">
        <v>5</v>
      </c>
      <c r="J20" s="17">
        <v>43622</v>
      </c>
      <c r="K20" s="17"/>
      <c r="L20" s="29" t="s">
        <v>66</v>
      </c>
      <c r="M20" s="2" t="str">
        <f t="shared" si="0"/>
        <v>05</v>
      </c>
      <c r="N20" s="2">
        <f t="shared" si="1"/>
        <v>5</v>
      </c>
    </row>
    <row r="21" spans="1:14" x14ac:dyDescent="0.3">
      <c r="A21" s="1" t="s">
        <v>46</v>
      </c>
      <c r="B21" s="1" t="s">
        <v>120</v>
      </c>
      <c r="C21" s="1" t="s">
        <v>121</v>
      </c>
      <c r="D21" s="16" t="s">
        <v>47</v>
      </c>
      <c r="E21" s="1" t="s">
        <v>21</v>
      </c>
      <c r="F21" s="1" t="s">
        <v>21</v>
      </c>
      <c r="G21" s="1" t="s">
        <v>17</v>
      </c>
      <c r="H21" s="32">
        <v>5</v>
      </c>
      <c r="I21" s="32">
        <v>5</v>
      </c>
      <c r="J21" s="17">
        <v>43241</v>
      </c>
      <c r="K21" s="17"/>
      <c r="L21" s="29" t="s">
        <v>48</v>
      </c>
      <c r="M21" s="2" t="str">
        <f t="shared" si="0"/>
        <v>05</v>
      </c>
      <c r="N21" s="2">
        <f t="shared" si="1"/>
        <v>5</v>
      </c>
    </row>
    <row r="22" spans="1:14" x14ac:dyDescent="0.3">
      <c r="A22" s="1" t="s">
        <v>73</v>
      </c>
      <c r="B22" s="1" t="s">
        <v>122</v>
      </c>
      <c r="C22" s="1" t="s">
        <v>123</v>
      </c>
      <c r="D22" s="16" t="s">
        <v>74</v>
      </c>
      <c r="E22" s="1" t="s">
        <v>21</v>
      </c>
      <c r="F22" s="1" t="s">
        <v>21</v>
      </c>
      <c r="G22" s="1" t="s">
        <v>26</v>
      </c>
      <c r="H22" s="32">
        <v>5</v>
      </c>
      <c r="I22" s="32">
        <v>5</v>
      </c>
      <c r="J22" s="17">
        <v>43458</v>
      </c>
      <c r="K22" s="17"/>
      <c r="L22" s="29" t="s">
        <v>75</v>
      </c>
      <c r="M22" s="2" t="str">
        <f t="shared" si="0"/>
        <v>05</v>
      </c>
      <c r="N22" s="2">
        <f t="shared" si="1"/>
        <v>5</v>
      </c>
    </row>
    <row r="23" spans="1:14" x14ac:dyDescent="0.3">
      <c r="A23" s="1" t="s">
        <v>28</v>
      </c>
      <c r="B23" s="1" t="s">
        <v>124</v>
      </c>
      <c r="C23" s="1" t="s">
        <v>125</v>
      </c>
      <c r="D23" s="16" t="s">
        <v>29</v>
      </c>
      <c r="E23" s="1" t="s">
        <v>21</v>
      </c>
      <c r="F23" s="1" t="s">
        <v>21</v>
      </c>
      <c r="G23" s="1" t="s">
        <v>12</v>
      </c>
      <c r="H23" s="32">
        <v>5</v>
      </c>
      <c r="I23" s="32">
        <v>5</v>
      </c>
      <c r="J23" s="17">
        <v>43361</v>
      </c>
      <c r="K23" s="17"/>
      <c r="L23" s="29" t="s">
        <v>30</v>
      </c>
      <c r="M23" s="2" t="str">
        <f t="shared" si="0"/>
        <v>05</v>
      </c>
      <c r="N23" s="2">
        <f t="shared" si="1"/>
        <v>5</v>
      </c>
    </row>
    <row r="24" spans="1:14" x14ac:dyDescent="0.3">
      <c r="A24" s="1" t="s">
        <v>55</v>
      </c>
      <c r="B24" s="1" t="s">
        <v>126</v>
      </c>
      <c r="C24" s="1" t="s">
        <v>127</v>
      </c>
      <c r="D24" s="16" t="s">
        <v>56</v>
      </c>
      <c r="E24" s="1" t="s">
        <v>21</v>
      </c>
      <c r="F24" s="1" t="s">
        <v>21</v>
      </c>
      <c r="G24" s="1" t="s">
        <v>22</v>
      </c>
      <c r="H24" s="32">
        <v>5</v>
      </c>
      <c r="I24" s="32">
        <v>5</v>
      </c>
      <c r="J24" s="17">
        <v>42930</v>
      </c>
      <c r="K24" s="17"/>
      <c r="L24" s="29" t="s">
        <v>57</v>
      </c>
      <c r="M24" s="2" t="str">
        <f t="shared" si="0"/>
        <v>05</v>
      </c>
      <c r="N24" s="2">
        <f t="shared" si="1"/>
        <v>5</v>
      </c>
    </row>
  </sheetData>
  <mergeCells count="1">
    <mergeCell ref="W1:X1"/>
  </mergeCells>
  <hyperlinks>
    <hyperlink ref="L17" r:id="rId1" display="mailto:john.smith@email.com"/>
    <hyperlink ref="L10" r:id="rId2" display="mailto:sara.khan@email.com"/>
    <hyperlink ref="L19" r:id="rId3" display="mailto:mike.j@email.com"/>
    <hyperlink ref="L14" r:id="rId4" display="mailto:emily.d@email.com"/>
    <hyperlink ref="L23" r:id="rId5" display="mailto:raj.patel@email.com"/>
    <hyperlink ref="L7" r:id="rId6" display="mailto:anna.lee@email.com"/>
    <hyperlink ref="L12" r:id="rId7" display="mailto:chris.b@email.com"/>
    <hyperlink ref="L18" r:id="rId8" display="mailto:david.w@email.com"/>
    <hyperlink ref="L5" r:id="rId9"/>
    <hyperlink ref="L13" r:id="rId10" display="mailto:tom.a@email.com"/>
    <hyperlink ref="L21" r:id="rId11" display="mailto:nina.g@email.com"/>
    <hyperlink ref="L9" r:id="rId12" display="mailto:alex.m@email.com"/>
    <hyperlink ref="L15" r:id="rId13" display="mailto:kevin.w@email.com"/>
    <hyperlink ref="L24" r:id="rId14" display="mailto:priya.s@email.com"/>
    <hyperlink ref="L6" r:id="rId15" display="mailto:daniel.c@email.com"/>
    <hyperlink ref="L16" r:id="rId16" display="mailto:sophia.l@email.com"/>
    <hyperlink ref="L20" r:id="rId17" display="mailto:james.w@email.com"/>
    <hyperlink ref="L8" r:id="rId18" display="mailto:olivia.h@email.com"/>
    <hyperlink ref="L11" r:id="rId19" display="mailto:ethan.a@email.com"/>
    <hyperlink ref="L22" r:id="rId20" display="mailto:chloe.y@email.com"/>
  </hyperlinks>
  <pageMargins left="0.7" right="0.7" top="0.75" bottom="0.75" header="0.3" footer="0.3"/>
  <pageSetup orientation="portrait" r:id="rId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="90" zoomScaleNormal="90" workbookViewId="0">
      <selection activeCell="B1" sqref="A1:XFD1048576"/>
    </sheetView>
  </sheetViews>
  <sheetFormatPr defaultRowHeight="15.6" x14ac:dyDescent="0.3"/>
  <cols>
    <col min="1" max="1" width="7.5546875" style="2" bestFit="1" customWidth="1"/>
    <col min="2" max="2" width="11.44140625" style="2" bestFit="1" customWidth="1"/>
    <col min="3" max="3" width="11.21875" style="2" bestFit="1" customWidth="1"/>
    <col min="4" max="4" width="15.21875" style="2" bestFit="1" customWidth="1"/>
    <col min="5" max="6" width="5.88671875" style="2" bestFit="1" customWidth="1"/>
    <col min="7" max="7" width="7.77734375" style="2" bestFit="1" customWidth="1"/>
    <col min="8" max="9" width="7.44140625" style="2" bestFit="1" customWidth="1"/>
    <col min="10" max="10" width="11.44140625" style="2" bestFit="1" customWidth="1"/>
    <col min="11" max="11" width="23.44140625" style="2" bestFit="1" customWidth="1"/>
    <col min="12" max="12" width="52.44140625" style="2" bestFit="1" customWidth="1"/>
    <col min="13" max="16384" width="8.88671875" style="2"/>
  </cols>
  <sheetData>
    <row r="1" spans="1:12" x14ac:dyDescent="0.3">
      <c r="K1" s="3"/>
      <c r="L1" s="1" t="s">
        <v>169</v>
      </c>
    </row>
    <row r="2" spans="1:12" x14ac:dyDescent="0.3">
      <c r="K2" s="3"/>
      <c r="L2" s="1"/>
    </row>
    <row r="3" spans="1:12" x14ac:dyDescent="0.3">
      <c r="K3" s="3"/>
      <c r="L3" s="1" t="s">
        <v>204</v>
      </c>
    </row>
    <row r="4" spans="1:12" x14ac:dyDescent="0.3">
      <c r="A4" s="6" t="s">
        <v>0</v>
      </c>
      <c r="B4" s="6" t="s">
        <v>87</v>
      </c>
      <c r="C4" s="6" t="s">
        <v>128</v>
      </c>
      <c r="D4" s="6" t="s">
        <v>129</v>
      </c>
      <c r="E4" s="6" t="s">
        <v>2</v>
      </c>
      <c r="F4" s="6" t="s">
        <v>2</v>
      </c>
      <c r="G4" s="6" t="s">
        <v>3</v>
      </c>
      <c r="H4" s="6" t="s">
        <v>6</v>
      </c>
      <c r="I4" s="6" t="s">
        <v>6</v>
      </c>
      <c r="J4" s="6" t="s">
        <v>7</v>
      </c>
      <c r="K4" s="6" t="s">
        <v>8</v>
      </c>
      <c r="L4" s="6"/>
    </row>
    <row r="5" spans="1:12" x14ac:dyDescent="0.3">
      <c r="A5" s="1" t="s">
        <v>40</v>
      </c>
      <c r="B5" s="1" t="s">
        <v>88</v>
      </c>
      <c r="C5" s="1" t="s">
        <v>89</v>
      </c>
      <c r="D5" s="16" t="s">
        <v>41</v>
      </c>
      <c r="E5" s="1" t="s">
        <v>16</v>
      </c>
      <c r="F5" s="1" t="s">
        <v>16</v>
      </c>
      <c r="G5" s="1" t="s">
        <v>12</v>
      </c>
      <c r="H5" s="31" t="s">
        <v>205</v>
      </c>
      <c r="I5" s="32">
        <v>2</v>
      </c>
      <c r="J5" s="17">
        <v>44668</v>
      </c>
      <c r="K5" s="29" t="s">
        <v>42</v>
      </c>
      <c r="L5" s="2" t="str">
        <f>REPLACE(D5,1,4,"Tom")</f>
        <v>Tom Taylor</v>
      </c>
    </row>
    <row r="6" spans="1:12" x14ac:dyDescent="0.3">
      <c r="A6" s="1" t="s">
        <v>58</v>
      </c>
      <c r="B6" s="1" t="s">
        <v>90</v>
      </c>
      <c r="C6" s="1" t="s">
        <v>91</v>
      </c>
      <c r="D6" s="16" t="s">
        <v>59</v>
      </c>
      <c r="E6" s="1" t="s">
        <v>16</v>
      </c>
      <c r="F6" s="1" t="s">
        <v>208</v>
      </c>
      <c r="G6" s="1" t="s">
        <v>17</v>
      </c>
      <c r="H6" s="31" t="s">
        <v>205</v>
      </c>
      <c r="I6" s="32">
        <v>2</v>
      </c>
      <c r="J6" s="17">
        <v>44448</v>
      </c>
      <c r="K6" s="29" t="s">
        <v>60</v>
      </c>
    </row>
    <row r="7" spans="1:12" x14ac:dyDescent="0.3">
      <c r="A7" s="1" t="s">
        <v>31</v>
      </c>
      <c r="B7" s="1" t="s">
        <v>92</v>
      </c>
      <c r="C7" s="1" t="s">
        <v>93</v>
      </c>
      <c r="D7" s="16" t="s">
        <v>32</v>
      </c>
      <c r="E7" s="1" t="s">
        <v>16</v>
      </c>
      <c r="F7" s="1" t="s">
        <v>16</v>
      </c>
      <c r="G7" s="1" t="s">
        <v>22</v>
      </c>
      <c r="H7" s="31" t="s">
        <v>206</v>
      </c>
      <c r="I7" s="32">
        <v>3</v>
      </c>
      <c r="J7" s="17">
        <v>44359</v>
      </c>
      <c r="K7" s="29" t="s">
        <v>33</v>
      </c>
    </row>
    <row r="8" spans="1:12" x14ac:dyDescent="0.3">
      <c r="A8" s="1" t="s">
        <v>67</v>
      </c>
      <c r="B8" s="1" t="s">
        <v>94</v>
      </c>
      <c r="C8" s="1" t="s">
        <v>95</v>
      </c>
      <c r="D8" s="16" t="s">
        <v>68</v>
      </c>
      <c r="E8" s="1" t="s">
        <v>16</v>
      </c>
      <c r="F8" s="1" t="s">
        <v>16</v>
      </c>
      <c r="G8" s="1" t="s">
        <v>22</v>
      </c>
      <c r="H8" s="31" t="s">
        <v>206</v>
      </c>
      <c r="I8" s="32">
        <v>3</v>
      </c>
      <c r="J8" s="17">
        <v>44620</v>
      </c>
      <c r="K8" s="29" t="s">
        <v>69</v>
      </c>
    </row>
    <row r="9" spans="1:12" x14ac:dyDescent="0.3">
      <c r="A9" s="1" t="s">
        <v>49</v>
      </c>
      <c r="B9" s="1" t="s">
        <v>96</v>
      </c>
      <c r="C9" s="1" t="s">
        <v>97</v>
      </c>
      <c r="D9" s="16" t="s">
        <v>50</v>
      </c>
      <c r="E9" s="1" t="s">
        <v>16</v>
      </c>
      <c r="F9" s="1" t="s">
        <v>16</v>
      </c>
      <c r="G9" s="1" t="s">
        <v>26</v>
      </c>
      <c r="H9" s="31" t="s">
        <v>206</v>
      </c>
      <c r="I9" s="32">
        <v>3</v>
      </c>
      <c r="J9" s="17">
        <v>44115</v>
      </c>
      <c r="K9" s="29" t="s">
        <v>51</v>
      </c>
    </row>
    <row r="10" spans="1:12" x14ac:dyDescent="0.3">
      <c r="A10" s="1" t="s">
        <v>14</v>
      </c>
      <c r="B10" s="1" t="s">
        <v>98</v>
      </c>
      <c r="C10" s="1" t="s">
        <v>99</v>
      </c>
      <c r="D10" s="16" t="s">
        <v>15</v>
      </c>
      <c r="E10" s="1" t="s">
        <v>16</v>
      </c>
      <c r="F10" s="1" t="s">
        <v>16</v>
      </c>
      <c r="G10" s="1" t="s">
        <v>17</v>
      </c>
      <c r="H10" s="31" t="s">
        <v>206</v>
      </c>
      <c r="I10" s="32">
        <v>3</v>
      </c>
      <c r="J10" s="17">
        <v>44022</v>
      </c>
      <c r="K10" s="29" t="s">
        <v>18</v>
      </c>
    </row>
    <row r="11" spans="1:12" x14ac:dyDescent="0.3">
      <c r="A11" s="1" t="s">
        <v>70</v>
      </c>
      <c r="B11" s="1" t="s">
        <v>100</v>
      </c>
      <c r="C11" s="1" t="s">
        <v>101</v>
      </c>
      <c r="D11" s="16" t="s">
        <v>71</v>
      </c>
      <c r="E11" s="1" t="s">
        <v>11</v>
      </c>
      <c r="F11" s="1" t="s">
        <v>11</v>
      </c>
      <c r="G11" s="1" t="s">
        <v>17</v>
      </c>
      <c r="H11" s="31" t="s">
        <v>207</v>
      </c>
      <c r="I11" s="32">
        <v>4</v>
      </c>
      <c r="J11" s="17">
        <v>44329</v>
      </c>
      <c r="K11" s="29" t="s">
        <v>72</v>
      </c>
    </row>
    <row r="12" spans="1:12" x14ac:dyDescent="0.3">
      <c r="A12" s="1" t="s">
        <v>34</v>
      </c>
      <c r="B12" s="1" t="s">
        <v>102</v>
      </c>
      <c r="C12" s="1" t="s">
        <v>103</v>
      </c>
      <c r="D12" s="16" t="s">
        <v>35</v>
      </c>
      <c r="E12" s="1" t="s">
        <v>11</v>
      </c>
      <c r="F12" s="1" t="s">
        <v>11</v>
      </c>
      <c r="G12" s="1" t="s">
        <v>17</v>
      </c>
      <c r="H12" s="31" t="s">
        <v>207</v>
      </c>
      <c r="I12" s="32">
        <v>4</v>
      </c>
      <c r="J12" s="17">
        <v>43886</v>
      </c>
      <c r="K12" s="29" t="s">
        <v>36</v>
      </c>
    </row>
    <row r="13" spans="1:12" x14ac:dyDescent="0.3">
      <c r="A13" s="1" t="s">
        <v>43</v>
      </c>
      <c r="B13" s="1" t="s">
        <v>104</v>
      </c>
      <c r="C13" s="1" t="s">
        <v>105</v>
      </c>
      <c r="D13" s="16" t="s">
        <v>44</v>
      </c>
      <c r="E13" s="1" t="s">
        <v>11</v>
      </c>
      <c r="F13" s="1" t="s">
        <v>11</v>
      </c>
      <c r="G13" s="1" t="s">
        <v>22</v>
      </c>
      <c r="H13" s="31" t="s">
        <v>207</v>
      </c>
      <c r="I13" s="32">
        <v>4</v>
      </c>
      <c r="J13" s="17">
        <v>44531</v>
      </c>
      <c r="K13" s="29" t="s">
        <v>45</v>
      </c>
    </row>
    <row r="14" spans="1:12" x14ac:dyDescent="0.3">
      <c r="A14" s="1" t="s">
        <v>24</v>
      </c>
      <c r="B14" s="1" t="s">
        <v>106</v>
      </c>
      <c r="C14" s="1" t="s">
        <v>107</v>
      </c>
      <c r="D14" s="16" t="s">
        <v>25</v>
      </c>
      <c r="E14" s="1" t="s">
        <v>11</v>
      </c>
      <c r="F14" s="1" t="s">
        <v>11</v>
      </c>
      <c r="G14" s="1" t="s">
        <v>26</v>
      </c>
      <c r="H14" s="32">
        <v>4</v>
      </c>
      <c r="I14" s="32">
        <v>4</v>
      </c>
      <c r="J14" s="17">
        <v>44566</v>
      </c>
      <c r="K14" s="29" t="s">
        <v>27</v>
      </c>
    </row>
    <row r="15" spans="1:12" x14ac:dyDescent="0.3">
      <c r="A15" s="1" t="s">
        <v>52</v>
      </c>
      <c r="B15" s="1" t="s">
        <v>108</v>
      </c>
      <c r="C15" s="1" t="s">
        <v>109</v>
      </c>
      <c r="D15" s="16" t="s">
        <v>53</v>
      </c>
      <c r="E15" s="1" t="s">
        <v>11</v>
      </c>
      <c r="F15" s="1" t="s">
        <v>11</v>
      </c>
      <c r="G15" s="1" t="s">
        <v>12</v>
      </c>
      <c r="H15" s="32">
        <v>4</v>
      </c>
      <c r="I15" s="32">
        <v>4</v>
      </c>
      <c r="J15" s="17">
        <v>43527</v>
      </c>
      <c r="K15" s="29" t="s">
        <v>54</v>
      </c>
    </row>
    <row r="16" spans="1:12" x14ac:dyDescent="0.3">
      <c r="A16" s="1" t="s">
        <v>61</v>
      </c>
      <c r="B16" s="1" t="s">
        <v>110</v>
      </c>
      <c r="C16" s="1" t="s">
        <v>111</v>
      </c>
      <c r="D16" s="16" t="s">
        <v>62</v>
      </c>
      <c r="E16" s="1" t="s">
        <v>11</v>
      </c>
      <c r="F16" s="1" t="s">
        <v>11</v>
      </c>
      <c r="G16" s="1" t="s">
        <v>26</v>
      </c>
      <c r="H16" s="32">
        <v>4</v>
      </c>
      <c r="I16" s="32">
        <v>4</v>
      </c>
      <c r="J16" s="17">
        <v>43849</v>
      </c>
      <c r="K16" s="29" t="s">
        <v>63</v>
      </c>
    </row>
    <row r="17" spans="1:12" x14ac:dyDescent="0.3">
      <c r="A17" s="1" t="s">
        <v>9</v>
      </c>
      <c r="B17" s="1" t="s">
        <v>112</v>
      </c>
      <c r="C17" s="1" t="s">
        <v>113</v>
      </c>
      <c r="D17" s="16" t="s">
        <v>10</v>
      </c>
      <c r="E17" s="1" t="s">
        <v>11</v>
      </c>
      <c r="F17" s="1" t="s">
        <v>11</v>
      </c>
      <c r="G17" s="1" t="s">
        <v>12</v>
      </c>
      <c r="H17" s="32">
        <v>4</v>
      </c>
      <c r="I17" s="32">
        <v>4</v>
      </c>
      <c r="J17" s="17">
        <v>44270</v>
      </c>
      <c r="K17" s="29" t="s">
        <v>13</v>
      </c>
    </row>
    <row r="18" spans="1:12" x14ac:dyDescent="0.3">
      <c r="A18" s="1" t="s">
        <v>37</v>
      </c>
      <c r="B18" s="1" t="s">
        <v>114</v>
      </c>
      <c r="C18" s="1" t="s">
        <v>115</v>
      </c>
      <c r="D18" s="16" t="s">
        <v>38</v>
      </c>
      <c r="E18" s="1" t="s">
        <v>21</v>
      </c>
      <c r="F18" s="1" t="s">
        <v>21</v>
      </c>
      <c r="G18" s="1" t="s">
        <v>26</v>
      </c>
      <c r="H18" s="32">
        <v>5</v>
      </c>
      <c r="I18" s="32">
        <v>5</v>
      </c>
      <c r="J18" s="17">
        <v>43707</v>
      </c>
      <c r="K18" s="29" t="s">
        <v>39</v>
      </c>
    </row>
    <row r="19" spans="1:12" x14ac:dyDescent="0.3">
      <c r="A19" s="1" t="s">
        <v>19</v>
      </c>
      <c r="B19" s="1" t="s">
        <v>116</v>
      </c>
      <c r="C19" s="1" t="s">
        <v>117</v>
      </c>
      <c r="D19" s="16" t="s">
        <v>20</v>
      </c>
      <c r="E19" s="1" t="s">
        <v>21</v>
      </c>
      <c r="F19" s="1" t="s">
        <v>21</v>
      </c>
      <c r="G19" s="1" t="s">
        <v>22</v>
      </c>
      <c r="H19" s="32">
        <v>5</v>
      </c>
      <c r="I19" s="32">
        <v>5</v>
      </c>
      <c r="J19" s="17">
        <v>43791</v>
      </c>
      <c r="K19" s="29" t="s">
        <v>23</v>
      </c>
    </row>
    <row r="20" spans="1:12" x14ac:dyDescent="0.3">
      <c r="A20" s="1" t="s">
        <v>64</v>
      </c>
      <c r="B20" s="1" t="s">
        <v>118</v>
      </c>
      <c r="C20" s="1" t="s">
        <v>119</v>
      </c>
      <c r="D20" s="16" t="s">
        <v>65</v>
      </c>
      <c r="E20" s="1" t="s">
        <v>21</v>
      </c>
      <c r="F20" s="1" t="s">
        <v>21</v>
      </c>
      <c r="G20" s="1" t="s">
        <v>12</v>
      </c>
      <c r="H20" s="32">
        <v>5</v>
      </c>
      <c r="I20" s="32">
        <v>5</v>
      </c>
      <c r="J20" s="17">
        <v>43622</v>
      </c>
      <c r="K20" s="29" t="s">
        <v>66</v>
      </c>
    </row>
    <row r="21" spans="1:12" x14ac:dyDescent="0.3">
      <c r="A21" s="1" t="s">
        <v>46</v>
      </c>
      <c r="B21" s="1" t="s">
        <v>120</v>
      </c>
      <c r="C21" s="1" t="s">
        <v>121</v>
      </c>
      <c r="D21" s="16" t="s">
        <v>47</v>
      </c>
      <c r="E21" s="1" t="s">
        <v>21</v>
      </c>
      <c r="F21" s="1" t="s">
        <v>21</v>
      </c>
      <c r="G21" s="1" t="s">
        <v>17</v>
      </c>
      <c r="H21" s="32">
        <v>5</v>
      </c>
      <c r="I21" s="32">
        <v>5</v>
      </c>
      <c r="J21" s="17">
        <v>43241</v>
      </c>
      <c r="K21" s="29" t="s">
        <v>48</v>
      </c>
    </row>
    <row r="22" spans="1:12" x14ac:dyDescent="0.3">
      <c r="A22" s="1" t="s">
        <v>73</v>
      </c>
      <c r="B22" s="1" t="s">
        <v>122</v>
      </c>
      <c r="C22" s="1" t="s">
        <v>123</v>
      </c>
      <c r="D22" s="16" t="s">
        <v>74</v>
      </c>
      <c r="E22" s="1" t="s">
        <v>21</v>
      </c>
      <c r="F22" s="1" t="s">
        <v>21</v>
      </c>
      <c r="G22" s="1" t="s">
        <v>26</v>
      </c>
      <c r="H22" s="32">
        <v>5</v>
      </c>
      <c r="I22" s="32">
        <v>5</v>
      </c>
      <c r="J22" s="17">
        <v>43458</v>
      </c>
      <c r="K22" s="29" t="s">
        <v>75</v>
      </c>
    </row>
    <row r="23" spans="1:12" x14ac:dyDescent="0.3">
      <c r="A23" s="1" t="s">
        <v>28</v>
      </c>
      <c r="B23" s="1" t="s">
        <v>124</v>
      </c>
      <c r="C23" s="1" t="s">
        <v>125</v>
      </c>
      <c r="D23" s="16" t="s">
        <v>29</v>
      </c>
      <c r="E23" s="1" t="s">
        <v>21</v>
      </c>
      <c r="F23" s="1" t="s">
        <v>21</v>
      </c>
      <c r="G23" s="1" t="s">
        <v>12</v>
      </c>
      <c r="H23" s="32">
        <v>5</v>
      </c>
      <c r="I23" s="32">
        <v>5</v>
      </c>
      <c r="J23" s="17">
        <v>43361</v>
      </c>
      <c r="K23" s="29" t="s">
        <v>30</v>
      </c>
    </row>
    <row r="24" spans="1:12" x14ac:dyDescent="0.3">
      <c r="A24" s="1" t="s">
        <v>55</v>
      </c>
      <c r="B24" s="1" t="s">
        <v>126</v>
      </c>
      <c r="C24" s="1" t="s">
        <v>127</v>
      </c>
      <c r="D24" s="16" t="s">
        <v>56</v>
      </c>
      <c r="E24" s="1" t="s">
        <v>21</v>
      </c>
      <c r="F24" s="1" t="s">
        <v>21</v>
      </c>
      <c r="G24" s="1" t="s">
        <v>22</v>
      </c>
      <c r="H24" s="32">
        <v>5</v>
      </c>
      <c r="I24" s="32">
        <v>5</v>
      </c>
      <c r="J24" s="17">
        <v>42930</v>
      </c>
      <c r="K24" s="29" t="s">
        <v>57</v>
      </c>
    </row>
    <row r="29" spans="1:12" x14ac:dyDescent="0.3">
      <c r="L29" s="1"/>
    </row>
  </sheetData>
  <hyperlinks>
    <hyperlink ref="K17" r:id="rId1" display="mailto:john.smith@email.com"/>
    <hyperlink ref="K10" r:id="rId2" display="mailto:sara.khan@email.com"/>
    <hyperlink ref="K19" r:id="rId3" display="mailto:mike.j@email.com"/>
    <hyperlink ref="K14" r:id="rId4" display="mailto:emily.d@email.com"/>
    <hyperlink ref="K23" r:id="rId5" display="mailto:raj.patel@email.com"/>
    <hyperlink ref="K7" r:id="rId6" display="mailto:anna.lee@email.com"/>
    <hyperlink ref="K12" r:id="rId7" display="mailto:chris.b@email.com"/>
    <hyperlink ref="K18" r:id="rId8" display="mailto:david.w@email.com"/>
    <hyperlink ref="K5" r:id="rId9"/>
    <hyperlink ref="K13" r:id="rId10" display="mailto:tom.a@email.com"/>
    <hyperlink ref="K21" r:id="rId11" display="mailto:nina.g@email.com"/>
    <hyperlink ref="K9" r:id="rId12" display="mailto:alex.m@email.com"/>
    <hyperlink ref="K15" r:id="rId13" display="mailto:kevin.w@email.com"/>
    <hyperlink ref="K24" r:id="rId14" display="mailto:priya.s@email.com"/>
    <hyperlink ref="K6" r:id="rId15" display="mailto:daniel.c@email.com"/>
    <hyperlink ref="K16" r:id="rId16" display="mailto:sophia.l@email.com"/>
    <hyperlink ref="K20" r:id="rId17" display="mailto:james.w@email.com"/>
    <hyperlink ref="K8" r:id="rId18" display="mailto:olivia.h@email.com"/>
    <hyperlink ref="K11" r:id="rId19" display="mailto:ethan.a@email.com"/>
    <hyperlink ref="K22" r:id="rId20" display="mailto:chloe.y@email.com"/>
  </hyperlinks>
  <pageMargins left="0.7" right="0.7" top="0.75" bottom="0.75" header="0.3" footer="0.3"/>
  <pageSetup orientation="portrait" r:id="rId2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opLeftCell="B1" zoomScale="90" zoomScaleNormal="90" workbookViewId="0">
      <selection activeCell="M22" sqref="M22"/>
    </sheetView>
  </sheetViews>
  <sheetFormatPr defaultRowHeight="15.6" x14ac:dyDescent="0.3"/>
  <cols>
    <col min="1" max="1" width="7.5546875" style="2" bestFit="1" customWidth="1"/>
    <col min="2" max="2" width="11.44140625" style="2" bestFit="1" customWidth="1"/>
    <col min="3" max="3" width="11.21875" style="2" bestFit="1" customWidth="1"/>
    <col min="4" max="4" width="15.21875" style="2" bestFit="1" customWidth="1"/>
    <col min="5" max="5" width="11.44140625" style="2" bestFit="1" customWidth="1"/>
    <col min="6" max="6" width="23.44140625" style="2" bestFit="1" customWidth="1"/>
    <col min="7" max="7" width="5.6640625" style="2" bestFit="1" customWidth="1"/>
    <col min="8" max="8" width="7" style="2" bestFit="1" customWidth="1"/>
    <col min="9" max="9" width="6.5546875" style="2" bestFit="1" customWidth="1"/>
    <col min="10" max="10" width="11.44140625" style="2" bestFit="1" customWidth="1"/>
    <col min="11" max="11" width="13.5546875" style="2" bestFit="1" customWidth="1"/>
    <col min="12" max="12" width="6.109375" style="2" bestFit="1" customWidth="1"/>
    <col min="13" max="13" width="20.21875" style="2" bestFit="1" customWidth="1"/>
    <col min="14" max="14" width="20.88671875" style="2" bestFit="1" customWidth="1"/>
    <col min="15" max="15" width="11" style="2" bestFit="1" customWidth="1"/>
    <col min="16" max="16" width="13.5546875" style="2" bestFit="1" customWidth="1"/>
    <col min="17" max="16384" width="8.88671875" style="2"/>
  </cols>
  <sheetData>
    <row r="1" spans="1:16" ht="16.2" thickBot="1" x14ac:dyDescent="0.35">
      <c r="F1" s="3"/>
      <c r="G1" s="55" t="s">
        <v>224</v>
      </c>
      <c r="H1" s="55"/>
      <c r="I1" s="54" t="s">
        <v>218</v>
      </c>
      <c r="J1" s="54"/>
      <c r="K1" s="54"/>
      <c r="L1" s="54"/>
      <c r="M1" s="54"/>
      <c r="N1" s="54"/>
      <c r="O1" s="54"/>
      <c r="P1" s="54"/>
    </row>
    <row r="2" spans="1:16" x14ac:dyDescent="0.3">
      <c r="F2" s="3"/>
      <c r="G2" s="4" t="s">
        <v>82</v>
      </c>
      <c r="H2" s="5" t="s">
        <v>83</v>
      </c>
      <c r="I2" s="56" t="s">
        <v>82</v>
      </c>
      <c r="J2" s="57"/>
      <c r="K2" s="58"/>
      <c r="L2" s="56" t="s">
        <v>83</v>
      </c>
      <c r="M2" s="57"/>
      <c r="N2" s="57"/>
      <c r="O2" s="57"/>
      <c r="P2" s="58"/>
    </row>
    <row r="3" spans="1:16" x14ac:dyDescent="0.3">
      <c r="A3" s="6"/>
      <c r="B3" s="6"/>
      <c r="C3" s="6"/>
      <c r="D3" s="6"/>
      <c r="E3" s="6"/>
      <c r="F3" s="6"/>
      <c r="G3" s="7"/>
      <c r="H3" s="8"/>
      <c r="I3" s="9"/>
      <c r="J3" s="10"/>
      <c r="K3" s="10" t="s">
        <v>225</v>
      </c>
      <c r="L3" s="9"/>
      <c r="M3" s="10"/>
      <c r="N3" s="10"/>
      <c r="O3" s="11"/>
      <c r="P3" s="12" t="s">
        <v>225</v>
      </c>
    </row>
    <row r="4" spans="1:16" x14ac:dyDescent="0.3">
      <c r="A4" s="6" t="s">
        <v>0</v>
      </c>
      <c r="B4" s="6" t="s">
        <v>87</v>
      </c>
      <c r="C4" s="6" t="s">
        <v>128</v>
      </c>
      <c r="D4" s="6" t="s">
        <v>129</v>
      </c>
      <c r="E4" s="6" t="s">
        <v>7</v>
      </c>
      <c r="F4" s="6" t="s">
        <v>8</v>
      </c>
      <c r="G4" s="13"/>
      <c r="H4" s="14"/>
      <c r="I4" s="9" t="s">
        <v>219</v>
      </c>
      <c r="J4" s="10" t="s">
        <v>87</v>
      </c>
      <c r="K4" s="15" t="s">
        <v>87</v>
      </c>
      <c r="L4" s="9" t="s">
        <v>221</v>
      </c>
      <c r="M4" s="10" t="s">
        <v>222</v>
      </c>
      <c r="N4" s="10" t="s">
        <v>223</v>
      </c>
      <c r="O4" s="11" t="s">
        <v>220</v>
      </c>
      <c r="P4" s="12" t="s">
        <v>220</v>
      </c>
    </row>
    <row r="5" spans="1:16" x14ac:dyDescent="0.3">
      <c r="A5" s="1" t="s">
        <v>40</v>
      </c>
      <c r="B5" s="1" t="s">
        <v>88</v>
      </c>
      <c r="C5" s="1" t="s">
        <v>89</v>
      </c>
      <c r="D5" s="16" t="s">
        <v>41</v>
      </c>
      <c r="E5" s="17">
        <v>44668</v>
      </c>
      <c r="F5" s="18" t="s">
        <v>42</v>
      </c>
      <c r="G5" s="2" t="str">
        <f t="shared" ref="G5:G24" si="0">LEFT(A5,2)</f>
        <v>E0</v>
      </c>
      <c r="H5" s="2" t="str">
        <f>RIGHT(F5,3)</f>
        <v>com</v>
      </c>
      <c r="I5" s="19">
        <f t="shared" ref="I5:I24" si="1">SEARCH(" ",D5)-1</f>
        <v>4</v>
      </c>
      <c r="J5" s="20" t="str">
        <f t="shared" ref="J5:J24" si="2">LEFT(D5,I5)</f>
        <v>Lisa</v>
      </c>
      <c r="K5" s="21" t="str">
        <f t="shared" ref="K5:K24" si="3">LEFT(D5,SEARCH(" ",D5)-1)</f>
        <v>Lisa</v>
      </c>
      <c r="L5" s="19">
        <f t="shared" ref="L5:L24" si="4">LEN(D5)</f>
        <v>11</v>
      </c>
      <c r="M5" s="20">
        <f t="shared" ref="M5:M24" si="5">SEARCH(" ",D5,1)</f>
        <v>5</v>
      </c>
      <c r="N5" s="20">
        <f>L5-M5</f>
        <v>6</v>
      </c>
      <c r="O5" s="20" t="str">
        <f t="shared" ref="O5:O24" si="6">RIGHT(D5,N5)</f>
        <v>Taylor</v>
      </c>
      <c r="P5" s="21" t="str">
        <f t="shared" ref="P5:P24" si="7">RIGHT(D5,(LEN(D5)-SEARCH(" ",D5,1)))</f>
        <v>Taylor</v>
      </c>
    </row>
    <row r="6" spans="1:16" x14ac:dyDescent="0.3">
      <c r="A6" s="1" t="s">
        <v>58</v>
      </c>
      <c r="B6" s="1" t="s">
        <v>90</v>
      </c>
      <c r="C6" s="1" t="s">
        <v>91</v>
      </c>
      <c r="D6" s="16" t="s">
        <v>59</v>
      </c>
      <c r="E6" s="17">
        <v>44448</v>
      </c>
      <c r="F6" s="18" t="s">
        <v>60</v>
      </c>
      <c r="G6" s="2" t="str">
        <f t="shared" si="0"/>
        <v>E0</v>
      </c>
      <c r="H6" s="2" t="str">
        <f t="shared" ref="H6:H24" si="8">RIGHT(F6,3)</f>
        <v>com</v>
      </c>
      <c r="I6" s="19">
        <f t="shared" si="1"/>
        <v>6</v>
      </c>
      <c r="J6" s="20" t="str">
        <f t="shared" si="2"/>
        <v>Daniel</v>
      </c>
      <c r="K6" s="21" t="str">
        <f t="shared" si="3"/>
        <v>Daniel</v>
      </c>
      <c r="L6" s="19">
        <f t="shared" si="4"/>
        <v>12</v>
      </c>
      <c r="M6" s="20">
        <f t="shared" si="5"/>
        <v>7</v>
      </c>
      <c r="N6" s="20">
        <f t="shared" ref="N6:N24" si="9">L6-M6</f>
        <v>5</v>
      </c>
      <c r="O6" s="20" t="str">
        <f t="shared" si="6"/>
        <v>Clark</v>
      </c>
      <c r="P6" s="21" t="str">
        <f t="shared" si="7"/>
        <v>Clark</v>
      </c>
    </row>
    <row r="7" spans="1:16" x14ac:dyDescent="0.3">
      <c r="A7" s="1" t="s">
        <v>31</v>
      </c>
      <c r="B7" s="1" t="s">
        <v>92</v>
      </c>
      <c r="C7" s="1" t="s">
        <v>93</v>
      </c>
      <c r="D7" s="16" t="s">
        <v>32</v>
      </c>
      <c r="E7" s="17">
        <v>44359</v>
      </c>
      <c r="F7" s="18" t="s">
        <v>33</v>
      </c>
      <c r="G7" s="2" t="str">
        <f t="shared" si="0"/>
        <v>E0</v>
      </c>
      <c r="H7" s="2" t="str">
        <f t="shared" si="8"/>
        <v>com</v>
      </c>
      <c r="I7" s="19">
        <f t="shared" si="1"/>
        <v>4</v>
      </c>
      <c r="J7" s="20" t="str">
        <f t="shared" si="2"/>
        <v>Anna</v>
      </c>
      <c r="K7" s="21" t="str">
        <f t="shared" si="3"/>
        <v>Anna</v>
      </c>
      <c r="L7" s="19">
        <f t="shared" si="4"/>
        <v>8</v>
      </c>
      <c r="M7" s="20">
        <f t="shared" si="5"/>
        <v>5</v>
      </c>
      <c r="N7" s="20">
        <f t="shared" si="9"/>
        <v>3</v>
      </c>
      <c r="O7" s="20" t="str">
        <f t="shared" si="6"/>
        <v>Lee</v>
      </c>
      <c r="P7" s="21" t="str">
        <f t="shared" si="7"/>
        <v>Lee</v>
      </c>
    </row>
    <row r="8" spans="1:16" x14ac:dyDescent="0.3">
      <c r="A8" s="1" t="s">
        <v>67</v>
      </c>
      <c r="B8" s="1" t="s">
        <v>94</v>
      </c>
      <c r="C8" s="1" t="s">
        <v>95</v>
      </c>
      <c r="D8" s="16" t="s">
        <v>68</v>
      </c>
      <c r="E8" s="17">
        <v>44620</v>
      </c>
      <c r="F8" s="18" t="s">
        <v>69</v>
      </c>
      <c r="G8" s="2" t="str">
        <f t="shared" si="0"/>
        <v>E0</v>
      </c>
      <c r="H8" s="2" t="str">
        <f t="shared" si="8"/>
        <v>com</v>
      </c>
      <c r="I8" s="19">
        <f t="shared" si="1"/>
        <v>6</v>
      </c>
      <c r="J8" s="20" t="str">
        <f t="shared" si="2"/>
        <v>Olivia</v>
      </c>
      <c r="K8" s="21" t="str">
        <f t="shared" si="3"/>
        <v>Olivia</v>
      </c>
      <c r="L8" s="19">
        <f t="shared" si="4"/>
        <v>11</v>
      </c>
      <c r="M8" s="20">
        <f t="shared" si="5"/>
        <v>7</v>
      </c>
      <c r="N8" s="20">
        <f t="shared" si="9"/>
        <v>4</v>
      </c>
      <c r="O8" s="20" t="str">
        <f t="shared" si="6"/>
        <v>Hall</v>
      </c>
      <c r="P8" s="21" t="str">
        <f t="shared" si="7"/>
        <v>Hall</v>
      </c>
    </row>
    <row r="9" spans="1:16" x14ac:dyDescent="0.3">
      <c r="A9" s="1" t="s">
        <v>49</v>
      </c>
      <c r="B9" s="1" t="s">
        <v>96</v>
      </c>
      <c r="C9" s="1" t="s">
        <v>97</v>
      </c>
      <c r="D9" s="16" t="s">
        <v>50</v>
      </c>
      <c r="E9" s="17">
        <v>44115</v>
      </c>
      <c r="F9" s="18" t="s">
        <v>51</v>
      </c>
      <c r="G9" s="2" t="str">
        <f t="shared" si="0"/>
        <v>E0</v>
      </c>
      <c r="H9" s="2" t="str">
        <f t="shared" si="8"/>
        <v>com</v>
      </c>
      <c r="I9" s="19">
        <f t="shared" si="1"/>
        <v>4</v>
      </c>
      <c r="J9" s="20" t="str">
        <f t="shared" si="2"/>
        <v>Alex</v>
      </c>
      <c r="K9" s="21" t="str">
        <f t="shared" si="3"/>
        <v>Alex</v>
      </c>
      <c r="L9" s="19">
        <f t="shared" si="4"/>
        <v>13</v>
      </c>
      <c r="M9" s="20">
        <f t="shared" si="5"/>
        <v>5</v>
      </c>
      <c r="N9" s="20">
        <f t="shared" si="9"/>
        <v>8</v>
      </c>
      <c r="O9" s="20" t="str">
        <f t="shared" si="6"/>
        <v>Martinez</v>
      </c>
      <c r="P9" s="21" t="str">
        <f t="shared" si="7"/>
        <v>Martinez</v>
      </c>
    </row>
    <row r="10" spans="1:16" x14ac:dyDescent="0.3">
      <c r="A10" s="1" t="s">
        <v>14</v>
      </c>
      <c r="B10" s="1" t="s">
        <v>98</v>
      </c>
      <c r="C10" s="1" t="s">
        <v>99</v>
      </c>
      <c r="D10" s="16" t="s">
        <v>15</v>
      </c>
      <c r="E10" s="17">
        <v>44022</v>
      </c>
      <c r="F10" s="18" t="s">
        <v>18</v>
      </c>
      <c r="G10" s="2" t="str">
        <f t="shared" si="0"/>
        <v>E0</v>
      </c>
      <c r="H10" s="2" t="str">
        <f t="shared" si="8"/>
        <v>com</v>
      </c>
      <c r="I10" s="19">
        <f t="shared" si="1"/>
        <v>4</v>
      </c>
      <c r="J10" s="20" t="str">
        <f t="shared" si="2"/>
        <v>Sara</v>
      </c>
      <c r="K10" s="21" t="str">
        <f t="shared" si="3"/>
        <v>Sara</v>
      </c>
      <c r="L10" s="19">
        <f t="shared" si="4"/>
        <v>9</v>
      </c>
      <c r="M10" s="20">
        <f t="shared" si="5"/>
        <v>5</v>
      </c>
      <c r="N10" s="20">
        <f t="shared" si="9"/>
        <v>4</v>
      </c>
      <c r="O10" s="20" t="str">
        <f t="shared" si="6"/>
        <v>Khan</v>
      </c>
      <c r="P10" s="21" t="str">
        <f t="shared" si="7"/>
        <v>Khan</v>
      </c>
    </row>
    <row r="11" spans="1:16" x14ac:dyDescent="0.3">
      <c r="A11" s="1" t="s">
        <v>70</v>
      </c>
      <c r="B11" s="1" t="s">
        <v>100</v>
      </c>
      <c r="C11" s="1" t="s">
        <v>101</v>
      </c>
      <c r="D11" s="16" t="s">
        <v>71</v>
      </c>
      <c r="E11" s="17">
        <v>44329</v>
      </c>
      <c r="F11" s="18" t="s">
        <v>72</v>
      </c>
      <c r="G11" s="2" t="str">
        <f t="shared" si="0"/>
        <v>E0</v>
      </c>
      <c r="H11" s="2" t="str">
        <f t="shared" si="8"/>
        <v>com</v>
      </c>
      <c r="I11" s="19">
        <f t="shared" si="1"/>
        <v>5</v>
      </c>
      <c r="J11" s="20" t="str">
        <f t="shared" si="2"/>
        <v>Ethan</v>
      </c>
      <c r="K11" s="21" t="str">
        <f t="shared" si="3"/>
        <v>Ethan</v>
      </c>
      <c r="L11" s="19">
        <f t="shared" si="4"/>
        <v>11</v>
      </c>
      <c r="M11" s="20">
        <f t="shared" si="5"/>
        <v>6</v>
      </c>
      <c r="N11" s="20">
        <f t="shared" si="9"/>
        <v>5</v>
      </c>
      <c r="O11" s="20" t="str">
        <f t="shared" si="6"/>
        <v>Allen</v>
      </c>
      <c r="P11" s="21" t="str">
        <f t="shared" si="7"/>
        <v>Allen</v>
      </c>
    </row>
    <row r="12" spans="1:16" x14ac:dyDescent="0.3">
      <c r="A12" s="1" t="s">
        <v>34</v>
      </c>
      <c r="B12" s="1" t="s">
        <v>102</v>
      </c>
      <c r="C12" s="1" t="s">
        <v>103</v>
      </c>
      <c r="D12" s="16" t="s">
        <v>35</v>
      </c>
      <c r="E12" s="17">
        <v>43886</v>
      </c>
      <c r="F12" s="18" t="s">
        <v>36</v>
      </c>
      <c r="G12" s="2" t="str">
        <f t="shared" si="0"/>
        <v>E0</v>
      </c>
      <c r="H12" s="2" t="str">
        <f t="shared" si="8"/>
        <v>com</v>
      </c>
      <c r="I12" s="19">
        <f t="shared" si="1"/>
        <v>5</v>
      </c>
      <c r="J12" s="20" t="str">
        <f t="shared" si="2"/>
        <v>Chris</v>
      </c>
      <c r="K12" s="21" t="str">
        <f t="shared" si="3"/>
        <v>Chris</v>
      </c>
      <c r="L12" s="19">
        <f t="shared" si="4"/>
        <v>11</v>
      </c>
      <c r="M12" s="20">
        <f t="shared" si="5"/>
        <v>6</v>
      </c>
      <c r="N12" s="20">
        <f t="shared" si="9"/>
        <v>5</v>
      </c>
      <c r="O12" s="20" t="str">
        <f t="shared" si="6"/>
        <v>Brown</v>
      </c>
      <c r="P12" s="21" t="str">
        <f t="shared" si="7"/>
        <v>Brown</v>
      </c>
    </row>
    <row r="13" spans="1:16" x14ac:dyDescent="0.3">
      <c r="A13" s="1" t="s">
        <v>43</v>
      </c>
      <c r="B13" s="1" t="s">
        <v>104</v>
      </c>
      <c r="C13" s="1" t="s">
        <v>105</v>
      </c>
      <c r="D13" s="16" t="s">
        <v>44</v>
      </c>
      <c r="E13" s="17">
        <v>44531</v>
      </c>
      <c r="F13" s="18" t="s">
        <v>45</v>
      </c>
      <c r="G13" s="2" t="str">
        <f t="shared" si="0"/>
        <v>E0</v>
      </c>
      <c r="H13" s="2" t="str">
        <f t="shared" si="8"/>
        <v>com</v>
      </c>
      <c r="I13" s="19">
        <f t="shared" si="1"/>
        <v>3</v>
      </c>
      <c r="J13" s="20" t="str">
        <f t="shared" si="2"/>
        <v>Tom</v>
      </c>
      <c r="K13" s="21" t="str">
        <f t="shared" si="3"/>
        <v>Tom</v>
      </c>
      <c r="L13" s="19">
        <f t="shared" si="4"/>
        <v>12</v>
      </c>
      <c r="M13" s="20">
        <f t="shared" si="5"/>
        <v>4</v>
      </c>
      <c r="N13" s="20">
        <f t="shared" si="9"/>
        <v>8</v>
      </c>
      <c r="O13" s="20" t="str">
        <f t="shared" si="6"/>
        <v>Anderson</v>
      </c>
      <c r="P13" s="21" t="str">
        <f t="shared" si="7"/>
        <v>Anderson</v>
      </c>
    </row>
    <row r="14" spans="1:16" x14ac:dyDescent="0.3">
      <c r="A14" s="1" t="s">
        <v>24</v>
      </c>
      <c r="B14" s="1" t="s">
        <v>106</v>
      </c>
      <c r="C14" s="1" t="s">
        <v>107</v>
      </c>
      <c r="D14" s="16" t="s">
        <v>25</v>
      </c>
      <c r="E14" s="17">
        <v>44566</v>
      </c>
      <c r="F14" s="18" t="s">
        <v>27</v>
      </c>
      <c r="G14" s="2" t="str">
        <f t="shared" si="0"/>
        <v>E0</v>
      </c>
      <c r="H14" s="2" t="str">
        <f t="shared" si="8"/>
        <v>com</v>
      </c>
      <c r="I14" s="19">
        <f t="shared" si="1"/>
        <v>5</v>
      </c>
      <c r="J14" s="20" t="str">
        <f t="shared" si="2"/>
        <v>Emily</v>
      </c>
      <c r="K14" s="21" t="str">
        <f t="shared" si="3"/>
        <v>Emily</v>
      </c>
      <c r="L14" s="19">
        <f t="shared" si="4"/>
        <v>11</v>
      </c>
      <c r="M14" s="20">
        <f t="shared" si="5"/>
        <v>6</v>
      </c>
      <c r="N14" s="20">
        <f t="shared" si="9"/>
        <v>5</v>
      </c>
      <c r="O14" s="20" t="str">
        <f t="shared" si="6"/>
        <v>Davis</v>
      </c>
      <c r="P14" s="21" t="str">
        <f t="shared" si="7"/>
        <v>Davis</v>
      </c>
    </row>
    <row r="15" spans="1:16" x14ac:dyDescent="0.3">
      <c r="A15" s="1" t="s">
        <v>52</v>
      </c>
      <c r="B15" s="1" t="s">
        <v>108</v>
      </c>
      <c r="C15" s="1" t="s">
        <v>109</v>
      </c>
      <c r="D15" s="16" t="s">
        <v>53</v>
      </c>
      <c r="E15" s="17">
        <v>43527</v>
      </c>
      <c r="F15" s="18" t="s">
        <v>54</v>
      </c>
      <c r="G15" s="2" t="str">
        <f t="shared" si="0"/>
        <v>E0</v>
      </c>
      <c r="H15" s="2" t="str">
        <f t="shared" si="8"/>
        <v>com</v>
      </c>
      <c r="I15" s="19">
        <f t="shared" si="1"/>
        <v>5</v>
      </c>
      <c r="J15" s="20" t="str">
        <f t="shared" si="2"/>
        <v>Kevin</v>
      </c>
      <c r="K15" s="21" t="str">
        <f t="shared" si="3"/>
        <v>Kevin</v>
      </c>
      <c r="L15" s="19">
        <f t="shared" si="4"/>
        <v>11</v>
      </c>
      <c r="M15" s="20">
        <f t="shared" si="5"/>
        <v>6</v>
      </c>
      <c r="N15" s="20">
        <f t="shared" si="9"/>
        <v>5</v>
      </c>
      <c r="O15" s="20" t="str">
        <f t="shared" si="6"/>
        <v>White</v>
      </c>
      <c r="P15" s="21" t="str">
        <f t="shared" si="7"/>
        <v>White</v>
      </c>
    </row>
    <row r="16" spans="1:16" x14ac:dyDescent="0.3">
      <c r="A16" s="1" t="s">
        <v>61</v>
      </c>
      <c r="B16" s="1" t="s">
        <v>110</v>
      </c>
      <c r="C16" s="1" t="s">
        <v>111</v>
      </c>
      <c r="D16" s="16" t="s">
        <v>62</v>
      </c>
      <c r="E16" s="17">
        <v>43849</v>
      </c>
      <c r="F16" s="18" t="s">
        <v>63</v>
      </c>
      <c r="G16" s="2" t="str">
        <f t="shared" si="0"/>
        <v>E0</v>
      </c>
      <c r="H16" s="2" t="str">
        <f t="shared" si="8"/>
        <v>com</v>
      </c>
      <c r="I16" s="19">
        <f t="shared" si="1"/>
        <v>6</v>
      </c>
      <c r="J16" s="20" t="str">
        <f t="shared" si="2"/>
        <v>Sophia</v>
      </c>
      <c r="K16" s="21" t="str">
        <f t="shared" si="3"/>
        <v>Sophia</v>
      </c>
      <c r="L16" s="19">
        <f t="shared" si="4"/>
        <v>12</v>
      </c>
      <c r="M16" s="20">
        <f t="shared" si="5"/>
        <v>7</v>
      </c>
      <c r="N16" s="20">
        <f t="shared" si="9"/>
        <v>5</v>
      </c>
      <c r="O16" s="20" t="str">
        <f t="shared" si="6"/>
        <v>Lewis</v>
      </c>
      <c r="P16" s="21" t="str">
        <f t="shared" si="7"/>
        <v>Lewis</v>
      </c>
    </row>
    <row r="17" spans="1:16" x14ac:dyDescent="0.3">
      <c r="A17" s="1" t="s">
        <v>9</v>
      </c>
      <c r="B17" s="1" t="s">
        <v>112</v>
      </c>
      <c r="C17" s="1" t="s">
        <v>113</v>
      </c>
      <c r="D17" s="16" t="s">
        <v>10</v>
      </c>
      <c r="E17" s="17">
        <v>44270</v>
      </c>
      <c r="F17" s="18" t="s">
        <v>13</v>
      </c>
      <c r="G17" s="2" t="str">
        <f t="shared" si="0"/>
        <v>E0</v>
      </c>
      <c r="H17" s="2" t="str">
        <f t="shared" si="8"/>
        <v>com</v>
      </c>
      <c r="I17" s="19">
        <f t="shared" si="1"/>
        <v>4</v>
      </c>
      <c r="J17" s="20" t="str">
        <f t="shared" si="2"/>
        <v>John</v>
      </c>
      <c r="K17" s="21" t="str">
        <f t="shared" si="3"/>
        <v>John</v>
      </c>
      <c r="L17" s="19">
        <f t="shared" si="4"/>
        <v>10</v>
      </c>
      <c r="M17" s="20">
        <f t="shared" si="5"/>
        <v>5</v>
      </c>
      <c r="N17" s="20">
        <f t="shared" si="9"/>
        <v>5</v>
      </c>
      <c r="O17" s="20" t="str">
        <f t="shared" si="6"/>
        <v>Smith</v>
      </c>
      <c r="P17" s="21" t="str">
        <f t="shared" si="7"/>
        <v>Smith</v>
      </c>
    </row>
    <row r="18" spans="1:16" x14ac:dyDescent="0.3">
      <c r="A18" s="1" t="s">
        <v>37</v>
      </c>
      <c r="B18" s="1" t="s">
        <v>114</v>
      </c>
      <c r="C18" s="1" t="s">
        <v>115</v>
      </c>
      <c r="D18" s="16" t="s">
        <v>38</v>
      </c>
      <c r="E18" s="17">
        <v>43707</v>
      </c>
      <c r="F18" s="18" t="s">
        <v>39</v>
      </c>
      <c r="G18" s="2" t="str">
        <f t="shared" si="0"/>
        <v>E0</v>
      </c>
      <c r="H18" s="2" t="str">
        <f t="shared" si="8"/>
        <v>com</v>
      </c>
      <c r="I18" s="19">
        <f t="shared" si="1"/>
        <v>5</v>
      </c>
      <c r="J18" s="20" t="str">
        <f t="shared" si="2"/>
        <v>David</v>
      </c>
      <c r="K18" s="21" t="str">
        <f t="shared" si="3"/>
        <v>David</v>
      </c>
      <c r="L18" s="19">
        <f t="shared" si="4"/>
        <v>12</v>
      </c>
      <c r="M18" s="20">
        <f t="shared" si="5"/>
        <v>6</v>
      </c>
      <c r="N18" s="20">
        <f t="shared" si="9"/>
        <v>6</v>
      </c>
      <c r="O18" s="20" t="str">
        <f t="shared" si="6"/>
        <v>Wilson</v>
      </c>
      <c r="P18" s="21" t="str">
        <f t="shared" si="7"/>
        <v>Wilson</v>
      </c>
    </row>
    <row r="19" spans="1:16" x14ac:dyDescent="0.3">
      <c r="A19" s="1" t="s">
        <v>19</v>
      </c>
      <c r="B19" s="1" t="s">
        <v>116</v>
      </c>
      <c r="C19" s="1" t="s">
        <v>117</v>
      </c>
      <c r="D19" s="16" t="s">
        <v>20</v>
      </c>
      <c r="E19" s="17">
        <v>43791</v>
      </c>
      <c r="F19" s="18" t="s">
        <v>23</v>
      </c>
      <c r="G19" s="2" t="str">
        <f t="shared" si="0"/>
        <v>E0</v>
      </c>
      <c r="H19" s="2" t="str">
        <f t="shared" si="8"/>
        <v>com</v>
      </c>
      <c r="I19" s="19">
        <f t="shared" si="1"/>
        <v>4</v>
      </c>
      <c r="J19" s="20" t="str">
        <f t="shared" si="2"/>
        <v>Mike</v>
      </c>
      <c r="K19" s="21" t="str">
        <f t="shared" si="3"/>
        <v>Mike</v>
      </c>
      <c r="L19" s="19">
        <f t="shared" si="4"/>
        <v>12</v>
      </c>
      <c r="M19" s="20">
        <f t="shared" si="5"/>
        <v>5</v>
      </c>
      <c r="N19" s="20">
        <f t="shared" si="9"/>
        <v>7</v>
      </c>
      <c r="O19" s="20" t="str">
        <f t="shared" si="6"/>
        <v>Johnson</v>
      </c>
      <c r="P19" s="21" t="str">
        <f t="shared" si="7"/>
        <v>Johnson</v>
      </c>
    </row>
    <row r="20" spans="1:16" x14ac:dyDescent="0.3">
      <c r="A20" s="1" t="s">
        <v>64</v>
      </c>
      <c r="B20" s="1" t="s">
        <v>118</v>
      </c>
      <c r="C20" s="1" t="s">
        <v>119</v>
      </c>
      <c r="D20" s="16" t="s">
        <v>65</v>
      </c>
      <c r="E20" s="17">
        <v>43622</v>
      </c>
      <c r="F20" s="18" t="s">
        <v>66</v>
      </c>
      <c r="G20" s="2" t="str">
        <f t="shared" si="0"/>
        <v>E0</v>
      </c>
      <c r="H20" s="2" t="str">
        <f t="shared" si="8"/>
        <v>com</v>
      </c>
      <c r="I20" s="19">
        <f t="shared" si="1"/>
        <v>5</v>
      </c>
      <c r="J20" s="20" t="str">
        <f t="shared" si="2"/>
        <v>James</v>
      </c>
      <c r="K20" s="21" t="str">
        <f t="shared" si="3"/>
        <v>James</v>
      </c>
      <c r="L20" s="19">
        <f t="shared" si="4"/>
        <v>12</v>
      </c>
      <c r="M20" s="20">
        <f t="shared" si="5"/>
        <v>6</v>
      </c>
      <c r="N20" s="20">
        <f t="shared" si="9"/>
        <v>6</v>
      </c>
      <c r="O20" s="20" t="str">
        <f t="shared" si="6"/>
        <v>Walker</v>
      </c>
      <c r="P20" s="21" t="str">
        <f t="shared" si="7"/>
        <v>Walker</v>
      </c>
    </row>
    <row r="21" spans="1:16" x14ac:dyDescent="0.3">
      <c r="A21" s="1" t="s">
        <v>46</v>
      </c>
      <c r="B21" s="1" t="s">
        <v>120</v>
      </c>
      <c r="C21" s="1" t="s">
        <v>121</v>
      </c>
      <c r="D21" s="16" t="s">
        <v>47</v>
      </c>
      <c r="E21" s="17">
        <v>43241</v>
      </c>
      <c r="F21" s="18" t="s">
        <v>48</v>
      </c>
      <c r="G21" s="2" t="str">
        <f t="shared" si="0"/>
        <v>E0</v>
      </c>
      <c r="H21" s="2" t="str">
        <f t="shared" si="8"/>
        <v>com</v>
      </c>
      <c r="I21" s="19">
        <f t="shared" si="1"/>
        <v>4</v>
      </c>
      <c r="J21" s="20" t="str">
        <f t="shared" si="2"/>
        <v>Nina</v>
      </c>
      <c r="K21" s="21" t="str">
        <f t="shared" si="3"/>
        <v>Nina</v>
      </c>
      <c r="L21" s="19">
        <f t="shared" si="4"/>
        <v>10</v>
      </c>
      <c r="M21" s="20">
        <f t="shared" si="5"/>
        <v>5</v>
      </c>
      <c r="N21" s="20">
        <f t="shared" si="9"/>
        <v>5</v>
      </c>
      <c r="O21" s="20" t="str">
        <f t="shared" si="6"/>
        <v>Gupta</v>
      </c>
      <c r="P21" s="21" t="str">
        <f t="shared" si="7"/>
        <v>Gupta</v>
      </c>
    </row>
    <row r="22" spans="1:16" x14ac:dyDescent="0.3">
      <c r="A22" s="1" t="s">
        <v>73</v>
      </c>
      <c r="B22" s="1" t="s">
        <v>122</v>
      </c>
      <c r="C22" s="1" t="s">
        <v>123</v>
      </c>
      <c r="D22" s="16" t="s">
        <v>74</v>
      </c>
      <c r="E22" s="17">
        <v>43458</v>
      </c>
      <c r="F22" s="18" t="s">
        <v>75</v>
      </c>
      <c r="G22" s="2" t="str">
        <f t="shared" si="0"/>
        <v>E0</v>
      </c>
      <c r="H22" s="2" t="str">
        <f t="shared" si="8"/>
        <v>com</v>
      </c>
      <c r="I22" s="19">
        <f t="shared" si="1"/>
        <v>5</v>
      </c>
      <c r="J22" s="20" t="str">
        <f t="shared" si="2"/>
        <v>Chloe</v>
      </c>
      <c r="K22" s="21" t="str">
        <f t="shared" si="3"/>
        <v>Chloe</v>
      </c>
      <c r="L22" s="19">
        <f t="shared" si="4"/>
        <v>11</v>
      </c>
      <c r="M22" s="20">
        <f t="shared" si="5"/>
        <v>6</v>
      </c>
      <c r="N22" s="20">
        <f t="shared" si="9"/>
        <v>5</v>
      </c>
      <c r="O22" s="20" t="str">
        <f t="shared" si="6"/>
        <v>Young</v>
      </c>
      <c r="P22" s="21" t="str">
        <f t="shared" si="7"/>
        <v>Young</v>
      </c>
    </row>
    <row r="23" spans="1:16" x14ac:dyDescent="0.3">
      <c r="A23" s="1" t="s">
        <v>28</v>
      </c>
      <c r="B23" s="1" t="s">
        <v>124</v>
      </c>
      <c r="C23" s="1" t="s">
        <v>125</v>
      </c>
      <c r="D23" s="16" t="s">
        <v>29</v>
      </c>
      <c r="E23" s="17">
        <v>43361</v>
      </c>
      <c r="F23" s="18" t="s">
        <v>30</v>
      </c>
      <c r="G23" s="2" t="str">
        <f t="shared" si="0"/>
        <v>E0</v>
      </c>
      <c r="H23" s="2" t="str">
        <f t="shared" si="8"/>
        <v>com</v>
      </c>
      <c r="I23" s="19">
        <f t="shared" si="1"/>
        <v>3</v>
      </c>
      <c r="J23" s="20" t="str">
        <f t="shared" si="2"/>
        <v>Raj</v>
      </c>
      <c r="K23" s="21" t="str">
        <f t="shared" si="3"/>
        <v>Raj</v>
      </c>
      <c r="L23" s="19">
        <f t="shared" si="4"/>
        <v>9</v>
      </c>
      <c r="M23" s="20">
        <f t="shared" si="5"/>
        <v>4</v>
      </c>
      <c r="N23" s="20">
        <f t="shared" si="9"/>
        <v>5</v>
      </c>
      <c r="O23" s="20" t="str">
        <f t="shared" si="6"/>
        <v>Patel</v>
      </c>
      <c r="P23" s="21" t="str">
        <f t="shared" si="7"/>
        <v>Patel</v>
      </c>
    </row>
    <row r="24" spans="1:16" ht="16.2" thickBot="1" x14ac:dyDescent="0.35">
      <c r="A24" s="1" t="s">
        <v>55</v>
      </c>
      <c r="B24" s="1" t="s">
        <v>126</v>
      </c>
      <c r="C24" s="1" t="s">
        <v>127</v>
      </c>
      <c r="D24" s="16" t="s">
        <v>56</v>
      </c>
      <c r="E24" s="17">
        <v>42930</v>
      </c>
      <c r="F24" s="18" t="s">
        <v>57</v>
      </c>
      <c r="G24" s="2" t="str">
        <f t="shared" si="0"/>
        <v>E0</v>
      </c>
      <c r="H24" s="2" t="str">
        <f t="shared" si="8"/>
        <v>com</v>
      </c>
      <c r="I24" s="22">
        <f t="shared" si="1"/>
        <v>5</v>
      </c>
      <c r="J24" s="23" t="str">
        <f t="shared" si="2"/>
        <v>Priya</v>
      </c>
      <c r="K24" s="24" t="str">
        <f t="shared" si="3"/>
        <v>Priya</v>
      </c>
      <c r="L24" s="22">
        <f t="shared" si="4"/>
        <v>12</v>
      </c>
      <c r="M24" s="23">
        <f t="shared" si="5"/>
        <v>6</v>
      </c>
      <c r="N24" s="23">
        <f t="shared" si="9"/>
        <v>6</v>
      </c>
      <c r="O24" s="23" t="str">
        <f t="shared" si="6"/>
        <v>Sharma</v>
      </c>
      <c r="P24" s="24" t="str">
        <f t="shared" si="7"/>
        <v>Sharma</v>
      </c>
    </row>
  </sheetData>
  <mergeCells count="4">
    <mergeCell ref="I1:P1"/>
    <mergeCell ref="G1:H1"/>
    <mergeCell ref="I2:K2"/>
    <mergeCell ref="L2:P2"/>
  </mergeCells>
  <hyperlinks>
    <hyperlink ref="F17" r:id="rId1" display="mailto:john.smith@email.com"/>
    <hyperlink ref="F10" r:id="rId2" display="mailto:sara.khan@email.com"/>
    <hyperlink ref="F19" r:id="rId3" display="mailto:mike.j@email.com"/>
    <hyperlink ref="F14" r:id="rId4" display="mailto:emily.d@email.com"/>
    <hyperlink ref="F23" r:id="rId5" display="mailto:raj.patel@email.com"/>
    <hyperlink ref="F7" r:id="rId6" display="mailto:anna.lee@email.com"/>
    <hyperlink ref="F12" r:id="rId7" display="mailto:chris.b@email.com"/>
    <hyperlink ref="F18" r:id="rId8" display="mailto:david.w@email.com"/>
    <hyperlink ref="F5" r:id="rId9"/>
    <hyperlink ref="F13" r:id="rId10" display="mailto:tom.a@email.com"/>
    <hyperlink ref="F21" r:id="rId11" display="mailto:nina.g@email.com"/>
    <hyperlink ref="F9" r:id="rId12" display="mailto:alex.m@email.com"/>
    <hyperlink ref="F15" r:id="rId13" display="mailto:kevin.w@email.com"/>
    <hyperlink ref="F24" r:id="rId14" display="mailto:priya.s@email.com"/>
    <hyperlink ref="F6" r:id="rId15" display="mailto:daniel.c@email.com"/>
    <hyperlink ref="F16" r:id="rId16" display="mailto:sophia.l@email.com"/>
    <hyperlink ref="F20" r:id="rId17" display="mailto:james.w@email.com"/>
    <hyperlink ref="F8" r:id="rId18" display="mailto:olivia.h@email.com"/>
    <hyperlink ref="F11" r:id="rId19" display="mailto:ethan.a@email.com"/>
    <hyperlink ref="F22" r:id="rId20" display="mailto:chloe.y@email.com"/>
  </hyperlinks>
  <pageMargins left="0.7" right="0.7" top="0.75" bottom="0.75" header="0.3" footer="0.3"/>
  <pageSetup orientation="portrait" r:id="rId2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"/>
  <sheetViews>
    <sheetView tabSelected="1" zoomScale="105" zoomScaleNormal="90" workbookViewId="0">
      <selection activeCell="C4" sqref="C4"/>
    </sheetView>
  </sheetViews>
  <sheetFormatPr defaultRowHeight="14.4" x14ac:dyDescent="0.3"/>
  <cols>
    <col min="1" max="1" width="7.109375" style="43" bestFit="1" customWidth="1"/>
    <col min="2" max="2" width="13.33203125" style="43" bestFit="1" customWidth="1"/>
    <col min="3" max="3" width="12" style="43" bestFit="1" customWidth="1"/>
    <col min="4" max="4" width="17" style="43" bestFit="1" customWidth="1"/>
    <col min="5" max="5" width="18.33203125" style="43" bestFit="1" customWidth="1"/>
    <col min="6" max="6" width="28.33203125" style="43" bestFit="1" customWidth="1"/>
    <col min="7" max="7" width="13.33203125" style="43" bestFit="1" customWidth="1"/>
    <col min="8" max="8" width="29.6640625" style="43" bestFit="1" customWidth="1"/>
    <col min="9" max="9" width="24.5546875" style="43" bestFit="1" customWidth="1"/>
    <col min="10" max="10" width="8.33203125" style="43" bestFit="1" customWidth="1"/>
    <col min="11" max="11" width="2.21875" style="43" bestFit="1" customWidth="1"/>
    <col min="12" max="14" width="14.5546875" style="43" bestFit="1" customWidth="1"/>
    <col min="15" max="15" width="2.21875" style="43" bestFit="1" customWidth="1"/>
    <col min="16" max="16" width="10.77734375" style="43" bestFit="1" customWidth="1"/>
    <col min="17" max="17" width="14.5546875" style="43" bestFit="1" customWidth="1"/>
    <col min="18" max="18" width="24.5546875" style="43" bestFit="1" customWidth="1"/>
    <col min="19" max="20" width="10.77734375" style="43" bestFit="1" customWidth="1"/>
    <col min="21" max="24" width="31.33203125" style="43" customWidth="1"/>
    <col min="25" max="25" width="10.77734375" style="43" bestFit="1" customWidth="1"/>
    <col min="26" max="26" width="3.44140625" style="43" bestFit="1" customWidth="1"/>
    <col min="27" max="28" width="2.21875" style="43" bestFit="1" customWidth="1"/>
    <col min="29" max="29" width="8.33203125" style="43" bestFit="1" customWidth="1"/>
    <col min="30" max="30" width="18.33203125" style="43" bestFit="1" customWidth="1"/>
    <col min="31" max="31" width="13.33203125" style="43" bestFit="1" customWidth="1"/>
    <col min="32" max="32" width="9.5546875" style="43" bestFit="1" customWidth="1"/>
    <col min="33" max="33" width="12" style="43" bestFit="1" customWidth="1"/>
    <col min="34" max="35" width="10.77734375" style="43" bestFit="1" customWidth="1"/>
    <col min="36" max="36" width="33.33203125" style="43" bestFit="1" customWidth="1"/>
    <col min="37" max="16384" width="8.88671875" style="43"/>
  </cols>
  <sheetData>
    <row r="1" spans="1:36" x14ac:dyDescent="0.3">
      <c r="I1" s="44"/>
      <c r="J1" s="60" t="s">
        <v>150</v>
      </c>
      <c r="K1" s="60"/>
      <c r="L1" s="60"/>
      <c r="M1" s="60"/>
      <c r="N1" s="60"/>
      <c r="O1" s="60"/>
      <c r="P1" s="60"/>
      <c r="Q1" s="45"/>
      <c r="R1" s="45"/>
      <c r="S1" s="45"/>
      <c r="T1" s="45"/>
      <c r="U1" s="45"/>
      <c r="V1" s="45"/>
      <c r="W1" s="45"/>
      <c r="X1" s="45"/>
      <c r="Y1" s="59" t="s">
        <v>135</v>
      </c>
      <c r="Z1" s="59"/>
    </row>
    <row r="2" spans="1:36" x14ac:dyDescent="0.3">
      <c r="I2" s="44"/>
      <c r="J2" s="41" t="s">
        <v>84</v>
      </c>
      <c r="K2" s="45"/>
      <c r="L2" s="45" t="s">
        <v>246</v>
      </c>
      <c r="M2" s="45" t="s">
        <v>247</v>
      </c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6"/>
      <c r="Z2" s="46"/>
    </row>
    <row r="3" spans="1:36" x14ac:dyDescent="0.3">
      <c r="A3" s="41" t="s">
        <v>0</v>
      </c>
      <c r="B3" s="41" t="s">
        <v>87</v>
      </c>
      <c r="C3" s="41" t="s">
        <v>128</v>
      </c>
      <c r="D3" s="41" t="s">
        <v>129</v>
      </c>
      <c r="E3" s="41" t="s">
        <v>235</v>
      </c>
      <c r="F3" s="41" t="s">
        <v>227</v>
      </c>
      <c r="G3" s="41" t="s">
        <v>7</v>
      </c>
      <c r="H3" s="41"/>
      <c r="I3" s="41" t="s">
        <v>8</v>
      </c>
      <c r="J3" s="43" t="s">
        <v>236</v>
      </c>
      <c r="L3" s="43" t="s">
        <v>244</v>
      </c>
      <c r="M3" s="43" t="s">
        <v>245</v>
      </c>
      <c r="N3" s="43" t="s">
        <v>247</v>
      </c>
      <c r="Q3" s="43" t="s">
        <v>248</v>
      </c>
      <c r="R3" s="43" t="s">
        <v>249</v>
      </c>
      <c r="AC3" s="41" t="s">
        <v>212</v>
      </c>
      <c r="AD3" s="44" t="s">
        <v>133</v>
      </c>
      <c r="AE3" s="41" t="s">
        <v>138</v>
      </c>
      <c r="AF3" s="41" t="s">
        <v>139</v>
      </c>
      <c r="AG3" s="41" t="s">
        <v>197</v>
      </c>
      <c r="AH3" s="41" t="s">
        <v>137</v>
      </c>
      <c r="AI3" s="41" t="s">
        <v>134</v>
      </c>
      <c r="AJ3" s="41" t="s">
        <v>136</v>
      </c>
    </row>
    <row r="4" spans="1:36" x14ac:dyDescent="0.3">
      <c r="A4" s="42" t="s">
        <v>40</v>
      </c>
      <c r="B4" s="42" t="s">
        <v>88</v>
      </c>
      <c r="C4" s="42" t="s">
        <v>89</v>
      </c>
      <c r="D4" s="47" t="s">
        <v>41</v>
      </c>
      <c r="E4" s="42" t="s">
        <v>228</v>
      </c>
      <c r="F4" s="42" t="s">
        <v>250</v>
      </c>
      <c r="G4" s="48">
        <v>44668</v>
      </c>
      <c r="H4" s="62" t="s">
        <v>237</v>
      </c>
      <c r="I4" s="61" t="s">
        <v>42</v>
      </c>
      <c r="J4" s="43">
        <f>SEARCH("@",I4,1)</f>
        <v>7</v>
      </c>
      <c r="K4" s="43" t="str">
        <f>MID(I4,J4,1)</f>
        <v>@</v>
      </c>
      <c r="L4" s="63">
        <f t="shared" ref="L4:L10" si="0">SEARCH("_",H4,1)+1</f>
        <v>6</v>
      </c>
      <c r="M4" s="43">
        <f>SEARCH("@",H4,1)</f>
        <v>12</v>
      </c>
      <c r="N4" s="43">
        <f>M4-Q4</f>
        <v>6</v>
      </c>
      <c r="O4" s="43">
        <f>SEARCH("@",H4,1)-(SEARCH("_",H4,1)+1)</f>
        <v>6</v>
      </c>
      <c r="P4" s="43" t="str">
        <f>MID(H4,Q4,N4)</f>
        <v>Taylor</v>
      </c>
      <c r="Q4" s="63">
        <f>SEARCH("_",H4,1)+1</f>
        <v>6</v>
      </c>
      <c r="R4" s="43">
        <f>SEARCH("@",H4,1)-(SEARCH("_",H4,1)+1)</f>
        <v>6</v>
      </c>
      <c r="S4" s="43" t="str">
        <f>MID(H4,Q4,R4)</f>
        <v>Taylor</v>
      </c>
      <c r="T4" s="43" t="str">
        <f>MID(H4,SEARCH("_",H4,1)+1,SEARCH("@",H4,1)-(SEARCH("_",H4,1)+1))</f>
        <v>Taylor</v>
      </c>
      <c r="Y4" s="43" t="str">
        <f>MID(H4,SEARCH("_",H4,1)+1,SEARCH("@",H4,1)-(SEARCH("_",H4,1)+1))</f>
        <v>Taylor</v>
      </c>
      <c r="Z4" s="43">
        <f>LEN(I4)</f>
        <v>16</v>
      </c>
      <c r="AA4" s="43">
        <f>SEARCH("@",I4)</f>
        <v>7</v>
      </c>
      <c r="AB4" s="43" t="str">
        <f>MID(I4,AA4,1)</f>
        <v>@</v>
      </c>
      <c r="AC4" s="43">
        <f t="shared" ref="AC4:AC10" si="1">SEARCH(" ",D4,1)</f>
        <v>5</v>
      </c>
      <c r="AD4" s="43">
        <f t="shared" ref="AD4:AD10" si="2">SEARCH(" ",D4)-1</f>
        <v>4</v>
      </c>
      <c r="AE4" s="43">
        <f t="shared" ref="AE4:AE10" si="3">SEARCH(" ",D4,1)</f>
        <v>5</v>
      </c>
      <c r="AF4" s="43">
        <f>LEN(D4)-FIND(" ",D4,1)</f>
        <v>6</v>
      </c>
      <c r="AH4" s="43" t="str">
        <f>MID(D4,FIND(" ",D4,1)+1,LEN(D4)-FIND(" ",D4,1))</f>
        <v>Taylor</v>
      </c>
    </row>
    <row r="5" spans="1:36" x14ac:dyDescent="0.3">
      <c r="A5" s="42" t="s">
        <v>58</v>
      </c>
      <c r="B5" s="42" t="s">
        <v>90</v>
      </c>
      <c r="C5" s="42" t="s">
        <v>91</v>
      </c>
      <c r="D5" s="47" t="s">
        <v>59</v>
      </c>
      <c r="E5" s="42" t="s">
        <v>229</v>
      </c>
      <c r="F5" s="42" t="s">
        <v>251</v>
      </c>
      <c r="G5" s="48">
        <v>44448</v>
      </c>
      <c r="H5" s="62" t="s">
        <v>238</v>
      </c>
      <c r="I5" s="49" t="s">
        <v>60</v>
      </c>
      <c r="J5" s="43">
        <f t="shared" ref="J5:J10" si="4">SEARCH("@",I5,1)</f>
        <v>9</v>
      </c>
      <c r="K5" s="43" t="str">
        <f t="shared" ref="K5:K10" si="5">MID(I5,J5,1)</f>
        <v>@</v>
      </c>
      <c r="L5" s="63">
        <f t="shared" si="0"/>
        <v>8</v>
      </c>
      <c r="M5" s="43">
        <f t="shared" ref="M5:M10" si="6">SEARCH("@",H5,1)</f>
        <v>13</v>
      </c>
      <c r="N5" s="43">
        <f t="shared" ref="N5:N10" si="7">M5-L5</f>
        <v>5</v>
      </c>
      <c r="O5" s="43">
        <f t="shared" ref="O5:O10" si="8">SEARCH("@",H5,1)-(SEARCH("_",H5,1)+1)</f>
        <v>5</v>
      </c>
      <c r="P5" s="43" t="str">
        <f>MID(H5,L5,N5)</f>
        <v>Clark</v>
      </c>
      <c r="Q5" s="63">
        <f t="shared" ref="Q5:Q10" si="9">SEARCH("_",H5,1)+1</f>
        <v>8</v>
      </c>
      <c r="R5" s="43">
        <f t="shared" ref="R5:R10" si="10">SEARCH("@",H5,1)-(SEARCH("_",H5,1)+1)</f>
        <v>5</v>
      </c>
      <c r="S5" s="43" t="str">
        <f>MID(H5,Q5,R5)</f>
        <v>Clark</v>
      </c>
      <c r="T5" s="43" t="str">
        <f t="shared" ref="T5:T10" si="11">MID(H5,SEARCH("_",H5,1)+1,SEARCH("@",H5,1)-(SEARCH("_",H5,1)+1))</f>
        <v>Clark</v>
      </c>
      <c r="Y5" s="43" t="str">
        <f>MID(H5,SEARCH("_",H5,1)+1,SEARCH("@",H5,1)-(SEARCH("_",H5,1)+1))</f>
        <v>Clark</v>
      </c>
      <c r="AC5" s="43">
        <f t="shared" si="1"/>
        <v>7</v>
      </c>
      <c r="AD5" s="43">
        <f t="shared" si="2"/>
        <v>6</v>
      </c>
      <c r="AE5" s="43">
        <f t="shared" si="3"/>
        <v>7</v>
      </c>
      <c r="AF5" s="43">
        <f>LEN(D5)-FIND(" ",D5,1)</f>
        <v>5</v>
      </c>
      <c r="AH5" s="43" t="str">
        <f>MID(D5,FIND(" ",D5,1)+1,LEN(D5)-FIND(" ",D5,1))</f>
        <v>Clark</v>
      </c>
    </row>
    <row r="6" spans="1:36" x14ac:dyDescent="0.3">
      <c r="A6" s="42" t="s">
        <v>31</v>
      </c>
      <c r="B6" s="42" t="s">
        <v>92</v>
      </c>
      <c r="C6" s="42" t="s">
        <v>93</v>
      </c>
      <c r="D6" s="47" t="s">
        <v>32</v>
      </c>
      <c r="E6" s="42" t="s">
        <v>230</v>
      </c>
      <c r="F6" s="42" t="s">
        <v>252</v>
      </c>
      <c r="G6" s="48">
        <v>44359</v>
      </c>
      <c r="H6" s="48" t="s">
        <v>239</v>
      </c>
      <c r="I6" s="49" t="s">
        <v>33</v>
      </c>
      <c r="J6" s="43">
        <f t="shared" si="4"/>
        <v>9</v>
      </c>
      <c r="K6" s="43" t="str">
        <f t="shared" si="5"/>
        <v>@</v>
      </c>
      <c r="L6" s="63">
        <f t="shared" si="0"/>
        <v>6</v>
      </c>
      <c r="M6" s="43">
        <f t="shared" si="6"/>
        <v>9</v>
      </c>
      <c r="N6" s="43">
        <f t="shared" si="7"/>
        <v>3</v>
      </c>
      <c r="O6" s="43">
        <f t="shared" si="8"/>
        <v>3</v>
      </c>
      <c r="P6" s="43" t="str">
        <f>MID(H6,L6,N6)</f>
        <v>Lee</v>
      </c>
      <c r="Q6" s="63">
        <f t="shared" si="9"/>
        <v>6</v>
      </c>
      <c r="R6" s="43">
        <f t="shared" si="10"/>
        <v>3</v>
      </c>
      <c r="S6" s="43" t="str">
        <f>MID(H6,Q6,R6)</f>
        <v>Lee</v>
      </c>
      <c r="T6" s="43" t="str">
        <f t="shared" si="11"/>
        <v>Lee</v>
      </c>
      <c r="Y6" s="43" t="str">
        <f>MID(H6,SEARCH("_",H6,1)+1,SEARCH("@",H6,1)-(SEARCH("_",H6,1)+1))</f>
        <v>Lee</v>
      </c>
      <c r="AC6" s="43">
        <f t="shared" si="1"/>
        <v>5</v>
      </c>
      <c r="AD6" s="43">
        <f t="shared" si="2"/>
        <v>4</v>
      </c>
      <c r="AE6" s="43">
        <f t="shared" si="3"/>
        <v>5</v>
      </c>
      <c r="AF6" s="43">
        <f>LEN(D6)-FIND(" ",D6,1)</f>
        <v>3</v>
      </c>
      <c r="AH6" s="43" t="str">
        <f>MID(D6,FIND(" ",D6,1)+1,LEN(D6)-FIND(" ",D6,1))</f>
        <v>Lee</v>
      </c>
    </row>
    <row r="7" spans="1:36" x14ac:dyDescent="0.3">
      <c r="A7" s="42" t="s">
        <v>67</v>
      </c>
      <c r="B7" s="42" t="s">
        <v>94</v>
      </c>
      <c r="C7" s="42" t="s">
        <v>95</v>
      </c>
      <c r="D7" s="47" t="s">
        <v>68</v>
      </c>
      <c r="E7" s="42" t="s">
        <v>231</v>
      </c>
      <c r="F7" s="42" t="s">
        <v>253</v>
      </c>
      <c r="G7" s="48">
        <v>44620</v>
      </c>
      <c r="H7" s="48" t="s">
        <v>240</v>
      </c>
      <c r="I7" s="49" t="s">
        <v>69</v>
      </c>
      <c r="J7" s="43">
        <f t="shared" si="4"/>
        <v>9</v>
      </c>
      <c r="K7" s="43" t="str">
        <f t="shared" si="5"/>
        <v>@</v>
      </c>
      <c r="L7" s="63">
        <f t="shared" si="0"/>
        <v>8</v>
      </c>
      <c r="M7" s="43">
        <f t="shared" si="6"/>
        <v>12</v>
      </c>
      <c r="N7" s="43">
        <f t="shared" si="7"/>
        <v>4</v>
      </c>
      <c r="O7" s="43">
        <f t="shared" si="8"/>
        <v>4</v>
      </c>
      <c r="P7" s="43" t="str">
        <f>MID(H7,L7,N7)</f>
        <v>Hall</v>
      </c>
      <c r="Q7" s="63">
        <f t="shared" si="9"/>
        <v>8</v>
      </c>
      <c r="R7" s="43">
        <f t="shared" si="10"/>
        <v>4</v>
      </c>
      <c r="S7" s="43" t="str">
        <f>MID(H7,Q7,R7)</f>
        <v>Hall</v>
      </c>
      <c r="T7" s="43" t="str">
        <f t="shared" si="11"/>
        <v>Hall</v>
      </c>
      <c r="Y7" s="43" t="str">
        <f>MID(H7,SEARCH("_",H7,1)+1,SEARCH("@",H7,1)-(SEARCH("_",H7,1)+1))</f>
        <v>Hall</v>
      </c>
      <c r="AC7" s="43">
        <f t="shared" si="1"/>
        <v>7</v>
      </c>
      <c r="AD7" s="43">
        <f t="shared" si="2"/>
        <v>6</v>
      </c>
      <c r="AE7" s="43">
        <f t="shared" si="3"/>
        <v>7</v>
      </c>
      <c r="AF7" s="43">
        <f>LEN(D7)-FIND(" ",D7,1)</f>
        <v>4</v>
      </c>
      <c r="AH7" s="43" t="str">
        <f>MID(D7,FIND(" ",D7,1)+1,LEN(D7)-FIND(" ",D7,1))</f>
        <v>Hall</v>
      </c>
    </row>
    <row r="8" spans="1:36" x14ac:dyDescent="0.3">
      <c r="A8" s="42" t="s">
        <v>49</v>
      </c>
      <c r="B8" s="42" t="s">
        <v>96</v>
      </c>
      <c r="C8" s="42" t="s">
        <v>97</v>
      </c>
      <c r="D8" s="47" t="s">
        <v>50</v>
      </c>
      <c r="E8" s="42" t="s">
        <v>232</v>
      </c>
      <c r="F8" s="42" t="s">
        <v>254</v>
      </c>
      <c r="G8" s="48">
        <v>44115</v>
      </c>
      <c r="H8" s="48" t="s">
        <v>241</v>
      </c>
      <c r="I8" s="49" t="s">
        <v>51</v>
      </c>
      <c r="J8" s="43">
        <f t="shared" si="4"/>
        <v>7</v>
      </c>
      <c r="K8" s="43" t="str">
        <f t="shared" si="5"/>
        <v>@</v>
      </c>
      <c r="L8" s="63">
        <f t="shared" si="0"/>
        <v>6</v>
      </c>
      <c r="M8" s="43">
        <f t="shared" si="6"/>
        <v>14</v>
      </c>
      <c r="N8" s="43">
        <f t="shared" si="7"/>
        <v>8</v>
      </c>
      <c r="O8" s="43">
        <f t="shared" si="8"/>
        <v>8</v>
      </c>
      <c r="P8" s="43" t="str">
        <f>MID(H8,L8,N8)</f>
        <v>Martinez</v>
      </c>
      <c r="Q8" s="63">
        <f t="shared" si="9"/>
        <v>6</v>
      </c>
      <c r="R8" s="43">
        <f t="shared" si="10"/>
        <v>8</v>
      </c>
      <c r="S8" s="43" t="str">
        <f>MID(H8,Q8,R8)</f>
        <v>Martinez</v>
      </c>
      <c r="T8" s="43" t="str">
        <f t="shared" si="11"/>
        <v>Martinez</v>
      </c>
      <c r="Y8" s="43" t="str">
        <f>MID(H8,SEARCH("_",H8,1)+1,SEARCH("@",H8,1)-(SEARCH("_",H8,1)+1))</f>
        <v>Martinez</v>
      </c>
      <c r="AC8" s="43">
        <f t="shared" si="1"/>
        <v>5</v>
      </c>
      <c r="AD8" s="43">
        <f t="shared" si="2"/>
        <v>4</v>
      </c>
      <c r="AE8" s="43">
        <f t="shared" si="3"/>
        <v>5</v>
      </c>
      <c r="AF8" s="43">
        <f>LEN(D8)-FIND(" ",D8,1)</f>
        <v>8</v>
      </c>
      <c r="AH8" s="43" t="str">
        <f>MID(D8,FIND(" ",D8,1)+1,LEN(D8)-FIND(" ",D8,1))</f>
        <v>Martinez</v>
      </c>
    </row>
    <row r="9" spans="1:36" x14ac:dyDescent="0.3">
      <c r="A9" s="42" t="s">
        <v>14</v>
      </c>
      <c r="B9" s="42" t="s">
        <v>98</v>
      </c>
      <c r="C9" s="42" t="s">
        <v>99</v>
      </c>
      <c r="D9" s="47" t="s">
        <v>15</v>
      </c>
      <c r="E9" s="42" t="s">
        <v>233</v>
      </c>
      <c r="F9" s="42" t="s">
        <v>255</v>
      </c>
      <c r="G9" s="48">
        <v>44022</v>
      </c>
      <c r="H9" s="48" t="s">
        <v>242</v>
      </c>
      <c r="I9" s="49" t="s">
        <v>18</v>
      </c>
      <c r="J9" s="43">
        <f t="shared" si="4"/>
        <v>10</v>
      </c>
      <c r="K9" s="43" t="str">
        <f t="shared" si="5"/>
        <v>@</v>
      </c>
      <c r="L9" s="63">
        <f t="shared" si="0"/>
        <v>6</v>
      </c>
      <c r="M9" s="43">
        <f t="shared" si="6"/>
        <v>10</v>
      </c>
      <c r="N9" s="43">
        <f t="shared" si="7"/>
        <v>4</v>
      </c>
      <c r="O9" s="43">
        <f t="shared" si="8"/>
        <v>4</v>
      </c>
      <c r="P9" s="43" t="str">
        <f>MID(H9,L9,N9)</f>
        <v>Khan</v>
      </c>
      <c r="Q9" s="63">
        <f t="shared" si="9"/>
        <v>6</v>
      </c>
      <c r="R9" s="43">
        <f t="shared" si="10"/>
        <v>4</v>
      </c>
      <c r="S9" s="43" t="str">
        <f>MID(H9,Q9,R9)</f>
        <v>Khan</v>
      </c>
      <c r="T9" s="43" t="str">
        <f t="shared" si="11"/>
        <v>Khan</v>
      </c>
      <c r="Y9" s="43" t="str">
        <f>MID(H9,SEARCH("_",H9,1)+1,SEARCH("@",H9,1)-(SEARCH("_",H9,1)+1))</f>
        <v>Khan</v>
      </c>
      <c r="AC9" s="43">
        <f t="shared" si="1"/>
        <v>5</v>
      </c>
      <c r="AD9" s="43">
        <f t="shared" si="2"/>
        <v>4</v>
      </c>
      <c r="AE9" s="43">
        <f t="shared" si="3"/>
        <v>5</v>
      </c>
      <c r="AF9" s="43">
        <f>LEN(D9)-FIND(" ",D9,1)</f>
        <v>4</v>
      </c>
      <c r="AH9" s="43" t="str">
        <f>MID(D9,FIND(" ",D9,1)+1,LEN(D9)-FIND(" ",D9,1))</f>
        <v>Khan</v>
      </c>
    </row>
    <row r="10" spans="1:36" x14ac:dyDescent="0.3">
      <c r="A10" s="42" t="s">
        <v>70</v>
      </c>
      <c r="B10" s="42" t="s">
        <v>100</v>
      </c>
      <c r="C10" s="42" t="s">
        <v>101</v>
      </c>
      <c r="D10" s="47" t="s">
        <v>71</v>
      </c>
      <c r="E10" s="42" t="s">
        <v>234</v>
      </c>
      <c r="F10" s="42" t="s">
        <v>256</v>
      </c>
      <c r="G10" s="48">
        <v>44329</v>
      </c>
      <c r="H10" s="48" t="s">
        <v>243</v>
      </c>
      <c r="I10" s="49" t="s">
        <v>72</v>
      </c>
      <c r="J10" s="43">
        <f t="shared" si="4"/>
        <v>8</v>
      </c>
      <c r="K10" s="43" t="str">
        <f t="shared" si="5"/>
        <v>@</v>
      </c>
      <c r="L10" s="63">
        <f t="shared" si="0"/>
        <v>7</v>
      </c>
      <c r="M10" s="43">
        <f t="shared" si="6"/>
        <v>12</v>
      </c>
      <c r="N10" s="43">
        <f t="shared" si="7"/>
        <v>5</v>
      </c>
      <c r="O10" s="43">
        <f t="shared" si="8"/>
        <v>5</v>
      </c>
      <c r="P10" s="43" t="str">
        <f>MID(H10,L10,N10)</f>
        <v>Allen</v>
      </c>
      <c r="Q10" s="63">
        <f t="shared" si="9"/>
        <v>7</v>
      </c>
      <c r="R10" s="43">
        <f t="shared" si="10"/>
        <v>5</v>
      </c>
      <c r="S10" s="43" t="str">
        <f>MID(H10,Q10,R10)</f>
        <v>Allen</v>
      </c>
      <c r="T10" s="43" t="str">
        <f t="shared" si="11"/>
        <v>Allen</v>
      </c>
      <c r="Y10" s="43" t="str">
        <f>MID(H10,SEARCH("_",H10,1)+1,SEARCH("@",H10,1)-(SEARCH("_",H10,1)+1))</f>
        <v>Allen</v>
      </c>
      <c r="AC10" s="43">
        <f t="shared" si="1"/>
        <v>6</v>
      </c>
      <c r="AD10" s="43">
        <f t="shared" si="2"/>
        <v>5</v>
      </c>
      <c r="AE10" s="43">
        <f t="shared" si="3"/>
        <v>6</v>
      </c>
      <c r="AF10" s="43">
        <f>LEN(D10)-FIND(" ",D10,1)</f>
        <v>5</v>
      </c>
      <c r="AH10" s="43" t="str">
        <f>MID(D10,FIND(" ",D10,1)+1,LEN(D10)-FIND(" ",D10,1))</f>
        <v>Allen</v>
      </c>
    </row>
  </sheetData>
  <mergeCells count="2">
    <mergeCell ref="Y1:Z1"/>
    <mergeCell ref="J1:P1"/>
  </mergeCells>
  <hyperlinks>
    <hyperlink ref="I9" r:id="rId1" display="mailto:sara.khan@email.com"/>
    <hyperlink ref="I6" r:id="rId2" display="mailto:anna.lee@email.com"/>
    <hyperlink ref="I8" r:id="rId3" display="mailto:alex.m@email.com"/>
    <hyperlink ref="I5" r:id="rId4" display="mailto:daniel.c@email.com"/>
    <hyperlink ref="I7" r:id="rId5" display="mailto:olivia.h@email.com"/>
    <hyperlink ref="I10" r:id="rId6" display="mailto:ethan.a@email.com"/>
    <hyperlink ref="I4" r:id="rId7"/>
    <hyperlink ref="H4" r:id="rId8"/>
    <hyperlink ref="H5" r:id="rId9"/>
  </hyperlinks>
  <pageMargins left="0.7" right="0.7" top="0.75" bottom="0.75" header="0.3" footer="0.3"/>
  <pageSetup orientation="portrait" r:id="rId1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>
      <selection activeCell="B1" sqref="A1:XFD1048576"/>
    </sheetView>
  </sheetViews>
  <sheetFormatPr defaultRowHeight="15.6" x14ac:dyDescent="0.3"/>
  <cols>
    <col min="1" max="1" width="7.44140625" style="2" bestFit="1" customWidth="1"/>
    <col min="2" max="2" width="14.6640625" style="2" bestFit="1" customWidth="1"/>
    <col min="3" max="3" width="5.77734375" style="2" bestFit="1" customWidth="1"/>
    <col min="4" max="4" width="7.6640625" style="2" bestFit="1" customWidth="1"/>
    <col min="5" max="5" width="9.5546875" style="2" bestFit="1" customWidth="1"/>
    <col min="6" max="6" width="7.109375" style="2" bestFit="1" customWidth="1"/>
    <col min="7" max="7" width="7.21875" style="2" bestFit="1" customWidth="1"/>
    <col min="8" max="8" width="11.21875" style="2" bestFit="1" customWidth="1"/>
    <col min="9" max="9" width="22.88671875" style="2" bestFit="1" customWidth="1"/>
    <col min="10" max="10" width="20.109375" style="2" customWidth="1"/>
    <col min="11" max="11" width="8.109375" style="2" bestFit="1" customWidth="1"/>
    <col min="12" max="12" width="6" style="2" bestFit="1" customWidth="1"/>
    <col min="13" max="13" width="9.77734375" style="2" bestFit="1" customWidth="1"/>
    <col min="14" max="14" width="5.33203125" style="2" bestFit="1" customWidth="1"/>
    <col min="15" max="15" width="4.21875" style="2" bestFit="1" customWidth="1"/>
    <col min="16" max="16" width="6.77734375" style="2" bestFit="1" customWidth="1"/>
    <col min="17" max="17" width="8.88671875" style="2"/>
    <col min="18" max="18" width="5.6640625" style="2" bestFit="1" customWidth="1"/>
    <col min="19" max="19" width="7" style="2" bestFit="1" customWidth="1"/>
    <col min="20" max="16384" width="8.88671875" style="2"/>
  </cols>
  <sheetData>
    <row r="1" spans="1:19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6"/>
      <c r="K1" s="6" t="s">
        <v>80</v>
      </c>
      <c r="L1" s="6" t="s">
        <v>76</v>
      </c>
      <c r="M1" s="6" t="s">
        <v>81</v>
      </c>
      <c r="N1" s="6" t="s">
        <v>77</v>
      </c>
      <c r="O1" s="6" t="s">
        <v>78</v>
      </c>
      <c r="P1" s="6" t="s">
        <v>79</v>
      </c>
      <c r="R1" s="6" t="s">
        <v>82</v>
      </c>
      <c r="S1" s="6" t="s">
        <v>83</v>
      </c>
    </row>
    <row r="2" spans="1:19" x14ac:dyDescent="0.3">
      <c r="A2" s="26" t="s">
        <v>40</v>
      </c>
      <c r="B2" s="26" t="s">
        <v>41</v>
      </c>
      <c r="C2" s="26" t="s">
        <v>16</v>
      </c>
      <c r="D2" s="26" t="s">
        <v>12</v>
      </c>
      <c r="E2" s="26">
        <v>46000</v>
      </c>
      <c r="F2" s="26">
        <v>2000</v>
      </c>
      <c r="G2" s="26">
        <v>2</v>
      </c>
      <c r="H2" s="27">
        <v>44668</v>
      </c>
      <c r="I2" s="28" t="s">
        <v>42</v>
      </c>
      <c r="J2" s="29"/>
      <c r="K2" s="2" t="b">
        <f>G2&gt;2</f>
        <v>0</v>
      </c>
      <c r="L2" s="2" t="str">
        <f t="shared" ref="L2" si="0">IF(F2&lt;4000,"Low","Good")</f>
        <v>Low</v>
      </c>
      <c r="M2" s="2" t="str">
        <f>IF(F2&lt;4000,"Low",IF(F2&lt;6000,"Avg","Good"))</f>
        <v>Low</v>
      </c>
      <c r="N2" s="2" t="str">
        <f>IF(AND(C2="HR",D2="West"),"Yes","No")</f>
        <v>No</v>
      </c>
      <c r="O2" s="2" t="str">
        <f>IF(OR(C2="IT",D2="South"),"Yes","No")</f>
        <v>No</v>
      </c>
      <c r="P2" s="2" t="b">
        <f>NOT(F2&lt;5000)</f>
        <v>0</v>
      </c>
    </row>
    <row r="3" spans="1:19" x14ac:dyDescent="0.3">
      <c r="A3" s="26" t="s">
        <v>58</v>
      </c>
      <c r="B3" s="26" t="s">
        <v>59</v>
      </c>
      <c r="C3" s="26" t="s">
        <v>16</v>
      </c>
      <c r="D3" s="26" t="s">
        <v>17</v>
      </c>
      <c r="E3" s="26">
        <v>45000</v>
      </c>
      <c r="F3" s="26">
        <v>2200</v>
      </c>
      <c r="G3" s="26">
        <v>2</v>
      </c>
      <c r="H3" s="27">
        <v>44448</v>
      </c>
      <c r="I3" s="28" t="s">
        <v>60</v>
      </c>
      <c r="J3" s="29"/>
      <c r="K3" s="2" t="b">
        <f t="shared" ref="K3:K21" si="1">G3&gt;2</f>
        <v>0</v>
      </c>
      <c r="L3" s="2" t="str">
        <f>IF(F3&lt;4000,"Low","Good")</f>
        <v>Low</v>
      </c>
      <c r="M3" s="2" t="str">
        <f t="shared" ref="M3:M21" si="2">IF(F3&lt;4000,"Low",IF(F3&lt;6000,"Avg","Good"))</f>
        <v>Low</v>
      </c>
      <c r="N3" s="2" t="str">
        <f t="shared" ref="N3:N21" si="3">IF(AND(C3="HR",D3="West"),"Yes","No")</f>
        <v>Yes</v>
      </c>
      <c r="O3" s="2" t="str">
        <f t="shared" ref="O3:O21" si="4">IF(OR(C3="IT",D3="South"),"Yes","No")</f>
        <v>No</v>
      </c>
      <c r="P3" s="2" t="b">
        <f t="shared" ref="P3:P21" si="5">NOT(F3&lt;5000)</f>
        <v>0</v>
      </c>
    </row>
    <row r="4" spans="1:19" x14ac:dyDescent="0.3">
      <c r="A4" s="26" t="s">
        <v>31</v>
      </c>
      <c r="B4" s="26" t="s">
        <v>32</v>
      </c>
      <c r="C4" s="26" t="s">
        <v>16</v>
      </c>
      <c r="D4" s="26" t="s">
        <v>22</v>
      </c>
      <c r="E4" s="26">
        <v>47000</v>
      </c>
      <c r="F4" s="26">
        <v>2500</v>
      </c>
      <c r="G4" s="26">
        <v>3</v>
      </c>
      <c r="H4" s="27">
        <v>44359</v>
      </c>
      <c r="I4" s="28" t="s">
        <v>33</v>
      </c>
      <c r="J4" s="29"/>
      <c r="K4" s="2" t="b">
        <f t="shared" si="1"/>
        <v>1</v>
      </c>
      <c r="L4" s="2" t="str">
        <f t="shared" ref="L4:L21" si="6">IF(F4&lt;4000,"Low","Good")</f>
        <v>Low</v>
      </c>
      <c r="M4" s="2" t="str">
        <f t="shared" si="2"/>
        <v>Low</v>
      </c>
      <c r="N4" s="2" t="str">
        <f t="shared" si="3"/>
        <v>No</v>
      </c>
      <c r="O4" s="2" t="str">
        <f t="shared" si="4"/>
        <v>No</v>
      </c>
      <c r="P4" s="2" t="b">
        <f t="shared" si="5"/>
        <v>0</v>
      </c>
    </row>
    <row r="5" spans="1:19" x14ac:dyDescent="0.3">
      <c r="A5" s="26" t="s">
        <v>67</v>
      </c>
      <c r="B5" s="26" t="s">
        <v>68</v>
      </c>
      <c r="C5" s="26" t="s">
        <v>16</v>
      </c>
      <c r="D5" s="26" t="s">
        <v>22</v>
      </c>
      <c r="E5" s="26">
        <v>47000</v>
      </c>
      <c r="F5" s="26">
        <v>2600</v>
      </c>
      <c r="G5" s="26">
        <v>3</v>
      </c>
      <c r="H5" s="27">
        <v>44620</v>
      </c>
      <c r="I5" s="28" t="s">
        <v>69</v>
      </c>
      <c r="J5" s="29"/>
      <c r="K5" s="2" t="b">
        <f t="shared" si="1"/>
        <v>1</v>
      </c>
      <c r="L5" s="2" t="str">
        <f t="shared" si="6"/>
        <v>Low</v>
      </c>
      <c r="M5" s="2" t="str">
        <f t="shared" si="2"/>
        <v>Low</v>
      </c>
      <c r="N5" s="2" t="str">
        <f t="shared" si="3"/>
        <v>No</v>
      </c>
      <c r="O5" s="2" t="str">
        <f t="shared" si="4"/>
        <v>No</v>
      </c>
      <c r="P5" s="2" t="b">
        <f t="shared" si="5"/>
        <v>0</v>
      </c>
    </row>
    <row r="6" spans="1:19" x14ac:dyDescent="0.3">
      <c r="A6" s="26" t="s">
        <v>49</v>
      </c>
      <c r="B6" s="26" t="s">
        <v>50</v>
      </c>
      <c r="C6" s="26" t="s">
        <v>16</v>
      </c>
      <c r="D6" s="26" t="s">
        <v>26</v>
      </c>
      <c r="E6" s="26">
        <v>49000</v>
      </c>
      <c r="F6" s="26">
        <v>2800</v>
      </c>
      <c r="G6" s="26">
        <v>3</v>
      </c>
      <c r="H6" s="27">
        <v>44115</v>
      </c>
      <c r="I6" s="28" t="s">
        <v>51</v>
      </c>
      <c r="J6" s="29"/>
      <c r="K6" s="2" t="b">
        <f t="shared" si="1"/>
        <v>1</v>
      </c>
      <c r="L6" s="2" t="str">
        <f t="shared" si="6"/>
        <v>Low</v>
      </c>
      <c r="M6" s="2" t="str">
        <f t="shared" si="2"/>
        <v>Low</v>
      </c>
      <c r="N6" s="2" t="str">
        <f t="shared" si="3"/>
        <v>No</v>
      </c>
      <c r="O6" s="2" t="str">
        <f t="shared" si="4"/>
        <v>Yes</v>
      </c>
      <c r="P6" s="2" t="b">
        <f t="shared" si="5"/>
        <v>0</v>
      </c>
    </row>
    <row r="7" spans="1:19" x14ac:dyDescent="0.3">
      <c r="A7" s="26" t="s">
        <v>14</v>
      </c>
      <c r="B7" s="26" t="s">
        <v>15</v>
      </c>
      <c r="C7" s="26" t="s">
        <v>16</v>
      </c>
      <c r="D7" s="26" t="s">
        <v>17</v>
      </c>
      <c r="E7" s="26">
        <v>48000</v>
      </c>
      <c r="F7" s="26">
        <v>3000</v>
      </c>
      <c r="G7" s="26">
        <v>3</v>
      </c>
      <c r="H7" s="27">
        <v>44022</v>
      </c>
      <c r="I7" s="28" t="s">
        <v>18</v>
      </c>
      <c r="J7" s="29"/>
      <c r="K7" s="2" t="b">
        <f t="shared" si="1"/>
        <v>1</v>
      </c>
      <c r="L7" s="2" t="str">
        <f t="shared" si="6"/>
        <v>Low</v>
      </c>
      <c r="M7" s="2" t="str">
        <f t="shared" si="2"/>
        <v>Low</v>
      </c>
      <c r="N7" s="2" t="str">
        <f t="shared" si="3"/>
        <v>Yes</v>
      </c>
      <c r="O7" s="2" t="str">
        <f t="shared" si="4"/>
        <v>No</v>
      </c>
      <c r="P7" s="2" t="b">
        <f t="shared" si="5"/>
        <v>0</v>
      </c>
    </row>
    <row r="8" spans="1:19" x14ac:dyDescent="0.3">
      <c r="A8" s="26" t="s">
        <v>70</v>
      </c>
      <c r="B8" s="26" t="s">
        <v>71</v>
      </c>
      <c r="C8" s="26" t="s">
        <v>11</v>
      </c>
      <c r="D8" s="26" t="s">
        <v>17</v>
      </c>
      <c r="E8" s="26">
        <v>52000</v>
      </c>
      <c r="F8" s="26">
        <v>3900</v>
      </c>
      <c r="G8" s="26">
        <v>4</v>
      </c>
      <c r="H8" s="27">
        <v>44329</v>
      </c>
      <c r="I8" s="28" t="s">
        <v>72</v>
      </c>
      <c r="J8" s="29"/>
      <c r="K8" s="2" t="b">
        <f t="shared" si="1"/>
        <v>1</v>
      </c>
      <c r="L8" s="2" t="str">
        <f t="shared" si="6"/>
        <v>Low</v>
      </c>
      <c r="M8" s="2" t="str">
        <f t="shared" si="2"/>
        <v>Low</v>
      </c>
      <c r="N8" s="2" t="str">
        <f t="shared" si="3"/>
        <v>No</v>
      </c>
      <c r="O8" s="2" t="str">
        <f t="shared" si="4"/>
        <v>No</v>
      </c>
      <c r="P8" s="2" t="b">
        <f t="shared" si="5"/>
        <v>0</v>
      </c>
    </row>
    <row r="9" spans="1:19" x14ac:dyDescent="0.3">
      <c r="A9" s="26" t="s">
        <v>34</v>
      </c>
      <c r="B9" s="26" t="s">
        <v>35</v>
      </c>
      <c r="C9" s="26" t="s">
        <v>11</v>
      </c>
      <c r="D9" s="26" t="s">
        <v>17</v>
      </c>
      <c r="E9" s="26">
        <v>51000</v>
      </c>
      <c r="F9" s="26">
        <v>4000</v>
      </c>
      <c r="G9" s="26">
        <v>4</v>
      </c>
      <c r="H9" s="27">
        <v>43886</v>
      </c>
      <c r="I9" s="28" t="s">
        <v>36</v>
      </c>
      <c r="J9" s="29"/>
      <c r="K9" s="2" t="b">
        <f t="shared" si="1"/>
        <v>1</v>
      </c>
      <c r="L9" s="2" t="str">
        <f t="shared" si="6"/>
        <v>Good</v>
      </c>
      <c r="M9" s="2" t="str">
        <f t="shared" si="2"/>
        <v>Avg</v>
      </c>
      <c r="N9" s="2" t="str">
        <f t="shared" si="3"/>
        <v>No</v>
      </c>
      <c r="O9" s="2" t="str">
        <f t="shared" si="4"/>
        <v>No</v>
      </c>
      <c r="P9" s="2" t="b">
        <f t="shared" si="5"/>
        <v>0</v>
      </c>
    </row>
    <row r="10" spans="1:19" x14ac:dyDescent="0.3">
      <c r="A10" s="26" t="s">
        <v>43</v>
      </c>
      <c r="B10" s="26" t="s">
        <v>44</v>
      </c>
      <c r="C10" s="26" t="s">
        <v>11</v>
      </c>
      <c r="D10" s="26" t="s">
        <v>22</v>
      </c>
      <c r="E10" s="26">
        <v>53000</v>
      </c>
      <c r="F10" s="26">
        <v>4200</v>
      </c>
      <c r="G10" s="26">
        <v>4</v>
      </c>
      <c r="H10" s="27">
        <v>44531</v>
      </c>
      <c r="I10" s="28" t="s">
        <v>45</v>
      </c>
      <c r="J10" s="29"/>
      <c r="K10" s="2" t="b">
        <f t="shared" si="1"/>
        <v>1</v>
      </c>
      <c r="L10" s="2" t="str">
        <f t="shared" si="6"/>
        <v>Good</v>
      </c>
      <c r="M10" s="2" t="str">
        <f t="shared" si="2"/>
        <v>Avg</v>
      </c>
      <c r="N10" s="2" t="str">
        <f t="shared" si="3"/>
        <v>No</v>
      </c>
      <c r="O10" s="2" t="str">
        <f t="shared" si="4"/>
        <v>No</v>
      </c>
      <c r="P10" s="2" t="b">
        <f t="shared" si="5"/>
        <v>0</v>
      </c>
    </row>
    <row r="11" spans="1:19" x14ac:dyDescent="0.3">
      <c r="A11" s="26" t="s">
        <v>24</v>
      </c>
      <c r="B11" s="26" t="s">
        <v>25</v>
      </c>
      <c r="C11" s="26" t="s">
        <v>11</v>
      </c>
      <c r="D11" s="26" t="s">
        <v>26</v>
      </c>
      <c r="E11" s="26">
        <v>54000</v>
      </c>
      <c r="F11" s="26">
        <v>4500</v>
      </c>
      <c r="G11" s="26">
        <v>4</v>
      </c>
      <c r="H11" s="27">
        <v>44566</v>
      </c>
      <c r="I11" s="28" t="s">
        <v>27</v>
      </c>
      <c r="J11" s="29"/>
      <c r="K11" s="2" t="b">
        <f t="shared" si="1"/>
        <v>1</v>
      </c>
      <c r="L11" s="2" t="str">
        <f t="shared" si="6"/>
        <v>Good</v>
      </c>
      <c r="M11" s="2" t="str">
        <f t="shared" si="2"/>
        <v>Avg</v>
      </c>
      <c r="N11" s="2" t="str">
        <f t="shared" si="3"/>
        <v>No</v>
      </c>
      <c r="O11" s="2" t="str">
        <f t="shared" si="4"/>
        <v>Yes</v>
      </c>
      <c r="P11" s="2" t="b">
        <f t="shared" si="5"/>
        <v>0</v>
      </c>
    </row>
    <row r="12" spans="1:19" x14ac:dyDescent="0.3">
      <c r="A12" s="26" t="s">
        <v>52</v>
      </c>
      <c r="B12" s="26" t="s">
        <v>53</v>
      </c>
      <c r="C12" s="26" t="s">
        <v>11</v>
      </c>
      <c r="D12" s="26" t="s">
        <v>12</v>
      </c>
      <c r="E12" s="26">
        <v>55000</v>
      </c>
      <c r="F12" s="26">
        <v>4700</v>
      </c>
      <c r="G12" s="26">
        <v>4</v>
      </c>
      <c r="H12" s="27">
        <v>43527</v>
      </c>
      <c r="I12" s="28" t="s">
        <v>54</v>
      </c>
      <c r="J12" s="29"/>
      <c r="K12" s="2" t="b">
        <f t="shared" si="1"/>
        <v>1</v>
      </c>
      <c r="L12" s="2" t="str">
        <f t="shared" si="6"/>
        <v>Good</v>
      </c>
      <c r="M12" s="2" t="str">
        <f t="shared" si="2"/>
        <v>Avg</v>
      </c>
      <c r="N12" s="2" t="str">
        <f t="shared" si="3"/>
        <v>No</v>
      </c>
      <c r="O12" s="2" t="str">
        <f t="shared" si="4"/>
        <v>No</v>
      </c>
      <c r="P12" s="2" t="b">
        <f t="shared" si="5"/>
        <v>0</v>
      </c>
    </row>
    <row r="13" spans="1:19" x14ac:dyDescent="0.3">
      <c r="A13" s="26" t="s">
        <v>61</v>
      </c>
      <c r="B13" s="26" t="s">
        <v>62</v>
      </c>
      <c r="C13" s="26" t="s">
        <v>11</v>
      </c>
      <c r="D13" s="26" t="s">
        <v>26</v>
      </c>
      <c r="E13" s="26">
        <v>56000</v>
      </c>
      <c r="F13" s="26">
        <v>4800</v>
      </c>
      <c r="G13" s="26">
        <v>4</v>
      </c>
      <c r="H13" s="27">
        <v>43849</v>
      </c>
      <c r="I13" s="28" t="s">
        <v>63</v>
      </c>
      <c r="J13" s="29"/>
      <c r="K13" s="2" t="b">
        <f t="shared" si="1"/>
        <v>1</v>
      </c>
      <c r="L13" s="2" t="str">
        <f t="shared" si="6"/>
        <v>Good</v>
      </c>
      <c r="M13" s="2" t="str">
        <f t="shared" si="2"/>
        <v>Avg</v>
      </c>
      <c r="N13" s="2" t="str">
        <f t="shared" si="3"/>
        <v>No</v>
      </c>
      <c r="O13" s="2" t="str">
        <f t="shared" si="4"/>
        <v>Yes</v>
      </c>
      <c r="P13" s="2" t="b">
        <f t="shared" si="5"/>
        <v>0</v>
      </c>
    </row>
    <row r="14" spans="1:19" x14ac:dyDescent="0.3">
      <c r="A14" s="26" t="s">
        <v>9</v>
      </c>
      <c r="B14" s="26" t="s">
        <v>10</v>
      </c>
      <c r="C14" s="26" t="s">
        <v>11</v>
      </c>
      <c r="D14" s="26" t="s">
        <v>12</v>
      </c>
      <c r="E14" s="26">
        <v>52000</v>
      </c>
      <c r="F14" s="26">
        <v>5000</v>
      </c>
      <c r="G14" s="26">
        <v>4</v>
      </c>
      <c r="H14" s="27">
        <v>44270</v>
      </c>
      <c r="I14" s="28" t="s">
        <v>13</v>
      </c>
      <c r="J14" s="29"/>
      <c r="K14" s="2" t="b">
        <f t="shared" si="1"/>
        <v>1</v>
      </c>
      <c r="L14" s="2" t="str">
        <f t="shared" si="6"/>
        <v>Good</v>
      </c>
      <c r="M14" s="2" t="str">
        <f t="shared" si="2"/>
        <v>Avg</v>
      </c>
      <c r="N14" s="2" t="str">
        <f t="shared" si="3"/>
        <v>No</v>
      </c>
      <c r="O14" s="2" t="str">
        <f t="shared" si="4"/>
        <v>No</v>
      </c>
      <c r="P14" s="2" t="b">
        <f t="shared" si="5"/>
        <v>1</v>
      </c>
    </row>
    <row r="15" spans="1:19" x14ac:dyDescent="0.3">
      <c r="A15" s="26" t="s">
        <v>37</v>
      </c>
      <c r="B15" s="26" t="s">
        <v>38</v>
      </c>
      <c r="C15" s="26" t="s">
        <v>21</v>
      </c>
      <c r="D15" s="26" t="s">
        <v>26</v>
      </c>
      <c r="E15" s="26">
        <v>68000</v>
      </c>
      <c r="F15" s="26">
        <v>6000</v>
      </c>
      <c r="G15" s="26">
        <v>5</v>
      </c>
      <c r="H15" s="27">
        <v>43707</v>
      </c>
      <c r="I15" s="28" t="s">
        <v>39</v>
      </c>
      <c r="J15" s="29"/>
      <c r="K15" s="2" t="b">
        <f t="shared" si="1"/>
        <v>1</v>
      </c>
      <c r="L15" s="2" t="str">
        <f t="shared" si="6"/>
        <v>Good</v>
      </c>
      <c r="M15" s="2" t="str">
        <f t="shared" si="2"/>
        <v>Good</v>
      </c>
      <c r="N15" s="2" t="str">
        <f t="shared" si="3"/>
        <v>No</v>
      </c>
      <c r="O15" s="2" t="str">
        <f t="shared" si="4"/>
        <v>Yes</v>
      </c>
      <c r="P15" s="2" t="b">
        <f t="shared" si="5"/>
        <v>1</v>
      </c>
    </row>
    <row r="16" spans="1:19" x14ac:dyDescent="0.3">
      <c r="A16" s="26" t="s">
        <v>19</v>
      </c>
      <c r="B16" s="26" t="s">
        <v>20</v>
      </c>
      <c r="C16" s="26" t="s">
        <v>21</v>
      </c>
      <c r="D16" s="26" t="s">
        <v>22</v>
      </c>
      <c r="E16" s="26">
        <v>65000</v>
      </c>
      <c r="F16" s="26">
        <v>7000</v>
      </c>
      <c r="G16" s="26">
        <v>5</v>
      </c>
      <c r="H16" s="27">
        <v>43791</v>
      </c>
      <c r="I16" s="28" t="s">
        <v>23</v>
      </c>
      <c r="J16" s="29"/>
      <c r="K16" s="2" t="b">
        <f t="shared" si="1"/>
        <v>1</v>
      </c>
      <c r="L16" s="2" t="str">
        <f t="shared" si="6"/>
        <v>Good</v>
      </c>
      <c r="M16" s="2" t="str">
        <f t="shared" si="2"/>
        <v>Good</v>
      </c>
      <c r="N16" s="2" t="str">
        <f t="shared" si="3"/>
        <v>No</v>
      </c>
      <c r="O16" s="2" t="str">
        <f t="shared" si="4"/>
        <v>Yes</v>
      </c>
      <c r="P16" s="2" t="b">
        <f t="shared" si="5"/>
        <v>1</v>
      </c>
    </row>
    <row r="17" spans="1:16" x14ac:dyDescent="0.3">
      <c r="A17" s="26" t="s">
        <v>64</v>
      </c>
      <c r="B17" s="26" t="s">
        <v>65</v>
      </c>
      <c r="C17" s="26" t="s">
        <v>21</v>
      </c>
      <c r="D17" s="26" t="s">
        <v>12</v>
      </c>
      <c r="E17" s="26">
        <v>69000</v>
      </c>
      <c r="F17" s="26">
        <v>7100</v>
      </c>
      <c r="G17" s="26">
        <v>5</v>
      </c>
      <c r="H17" s="27">
        <v>43622</v>
      </c>
      <c r="I17" s="28" t="s">
        <v>66</v>
      </c>
      <c r="J17" s="29"/>
      <c r="K17" s="2" t="b">
        <f t="shared" si="1"/>
        <v>1</v>
      </c>
      <c r="L17" s="2" t="str">
        <f t="shared" si="6"/>
        <v>Good</v>
      </c>
      <c r="M17" s="2" t="str">
        <f t="shared" si="2"/>
        <v>Good</v>
      </c>
      <c r="N17" s="2" t="str">
        <f t="shared" si="3"/>
        <v>No</v>
      </c>
      <c r="O17" s="2" t="str">
        <f t="shared" si="4"/>
        <v>Yes</v>
      </c>
      <c r="P17" s="2" t="b">
        <f t="shared" si="5"/>
        <v>1</v>
      </c>
    </row>
    <row r="18" spans="1:16" x14ac:dyDescent="0.3">
      <c r="A18" s="26" t="s">
        <v>46</v>
      </c>
      <c r="B18" s="26" t="s">
        <v>47</v>
      </c>
      <c r="C18" s="26" t="s">
        <v>21</v>
      </c>
      <c r="D18" s="26" t="s">
        <v>17</v>
      </c>
      <c r="E18" s="26">
        <v>70000</v>
      </c>
      <c r="F18" s="26">
        <v>7500</v>
      </c>
      <c r="G18" s="26">
        <v>5</v>
      </c>
      <c r="H18" s="27">
        <v>43241</v>
      </c>
      <c r="I18" s="28" t="s">
        <v>48</v>
      </c>
      <c r="J18" s="29"/>
      <c r="K18" s="2" t="b">
        <f t="shared" si="1"/>
        <v>1</v>
      </c>
      <c r="L18" s="2" t="str">
        <f t="shared" si="6"/>
        <v>Good</v>
      </c>
      <c r="M18" s="2" t="str">
        <f t="shared" si="2"/>
        <v>Good</v>
      </c>
      <c r="N18" s="2" t="str">
        <f t="shared" si="3"/>
        <v>No</v>
      </c>
      <c r="O18" s="2" t="str">
        <f t="shared" si="4"/>
        <v>Yes</v>
      </c>
      <c r="P18" s="2" t="b">
        <f t="shared" si="5"/>
        <v>1</v>
      </c>
    </row>
    <row r="19" spans="1:16" x14ac:dyDescent="0.3">
      <c r="A19" s="26" t="s">
        <v>73</v>
      </c>
      <c r="B19" s="26" t="s">
        <v>74</v>
      </c>
      <c r="C19" s="26" t="s">
        <v>21</v>
      </c>
      <c r="D19" s="26" t="s">
        <v>26</v>
      </c>
      <c r="E19" s="26">
        <v>71000</v>
      </c>
      <c r="F19" s="26">
        <v>7800</v>
      </c>
      <c r="G19" s="26">
        <v>5</v>
      </c>
      <c r="H19" s="27">
        <v>43458</v>
      </c>
      <c r="I19" s="28" t="s">
        <v>75</v>
      </c>
      <c r="J19" s="29"/>
      <c r="K19" s="2" t="b">
        <f t="shared" si="1"/>
        <v>1</v>
      </c>
      <c r="L19" s="2" t="str">
        <f t="shared" si="6"/>
        <v>Good</v>
      </c>
      <c r="M19" s="2" t="str">
        <f t="shared" si="2"/>
        <v>Good</v>
      </c>
      <c r="N19" s="2" t="str">
        <f t="shared" si="3"/>
        <v>No</v>
      </c>
      <c r="O19" s="2" t="str">
        <f t="shared" si="4"/>
        <v>Yes</v>
      </c>
      <c r="P19" s="2" t="b">
        <f t="shared" si="5"/>
        <v>1</v>
      </c>
    </row>
    <row r="20" spans="1:16" x14ac:dyDescent="0.3">
      <c r="A20" s="26" t="s">
        <v>28</v>
      </c>
      <c r="B20" s="26" t="s">
        <v>29</v>
      </c>
      <c r="C20" s="26" t="s">
        <v>21</v>
      </c>
      <c r="D20" s="26" t="s">
        <v>12</v>
      </c>
      <c r="E20" s="26">
        <v>72000</v>
      </c>
      <c r="F20" s="26">
        <v>8000</v>
      </c>
      <c r="G20" s="26">
        <v>5</v>
      </c>
      <c r="H20" s="27">
        <v>43361</v>
      </c>
      <c r="I20" s="28" t="s">
        <v>30</v>
      </c>
      <c r="J20" s="29"/>
      <c r="K20" s="2" t="b">
        <f t="shared" si="1"/>
        <v>1</v>
      </c>
      <c r="L20" s="2" t="str">
        <f t="shared" si="6"/>
        <v>Good</v>
      </c>
      <c r="M20" s="2" t="str">
        <f t="shared" si="2"/>
        <v>Good</v>
      </c>
      <c r="N20" s="2" t="str">
        <f t="shared" si="3"/>
        <v>No</v>
      </c>
      <c r="O20" s="2" t="str">
        <f t="shared" si="4"/>
        <v>Yes</v>
      </c>
      <c r="P20" s="2" t="b">
        <f t="shared" si="5"/>
        <v>1</v>
      </c>
    </row>
    <row r="21" spans="1:16" x14ac:dyDescent="0.3">
      <c r="A21" s="26" t="s">
        <v>55</v>
      </c>
      <c r="B21" s="26" t="s">
        <v>56</v>
      </c>
      <c r="C21" s="26" t="s">
        <v>21</v>
      </c>
      <c r="D21" s="26" t="s">
        <v>22</v>
      </c>
      <c r="E21" s="26">
        <v>73000</v>
      </c>
      <c r="F21" s="26">
        <v>8200</v>
      </c>
      <c r="G21" s="26">
        <v>5</v>
      </c>
      <c r="H21" s="27">
        <v>42930</v>
      </c>
      <c r="I21" s="28" t="s">
        <v>57</v>
      </c>
      <c r="J21" s="29"/>
      <c r="K21" s="2" t="b">
        <f t="shared" si="1"/>
        <v>1</v>
      </c>
      <c r="L21" s="2" t="str">
        <f t="shared" si="6"/>
        <v>Good</v>
      </c>
      <c r="M21" s="2" t="str">
        <f t="shared" si="2"/>
        <v>Good</v>
      </c>
      <c r="N21" s="2" t="str">
        <f t="shared" si="3"/>
        <v>No</v>
      </c>
      <c r="O21" s="2" t="str">
        <f t="shared" si="4"/>
        <v>Yes</v>
      </c>
      <c r="P21" s="2" t="b">
        <f t="shared" si="5"/>
        <v>1</v>
      </c>
    </row>
    <row r="22" spans="1:16" x14ac:dyDescent="0.3">
      <c r="E22" s="2">
        <f>SUM(E2:E21)</f>
        <v>1143000</v>
      </c>
      <c r="F22" s="2">
        <f>SUM(F2:F21)</f>
        <v>97800</v>
      </c>
    </row>
  </sheetData>
  <sortState ref="A2:I21">
    <sortCondition ref="F2:F21"/>
  </sortState>
  <conditionalFormatting sqref="K1:K21">
    <cfRule type="containsText" dxfId="1" priority="1" operator="containsText" text="TRUE">
      <formula>NOT(ISERROR(SEARCH("TRUE",K1)))</formula>
    </cfRule>
    <cfRule type="containsText" dxfId="0" priority="2" operator="containsText" text="FALSE">
      <formula>NOT(ISERROR(SEARCH("FALSE",K1)))</formula>
    </cfRule>
  </conditionalFormatting>
  <hyperlinks>
    <hyperlink ref="I14" r:id="rId1" display="mailto:john.smith@email.com"/>
    <hyperlink ref="I7" r:id="rId2" display="mailto:sara.khan@email.com"/>
    <hyperlink ref="I16" r:id="rId3" display="mailto:mike.j@email.com"/>
    <hyperlink ref="I11" r:id="rId4" display="mailto:emily.d@email.com"/>
    <hyperlink ref="I20" r:id="rId5" display="mailto:raj.patel@email.com"/>
    <hyperlink ref="I4" r:id="rId6" display="mailto:anna.lee@email.com"/>
    <hyperlink ref="I9" r:id="rId7" display="mailto:chris.b@email.com"/>
    <hyperlink ref="I15" r:id="rId8" display="mailto:david.w@email.com"/>
    <hyperlink ref="I2" r:id="rId9" display="mailto:lisa.t@email.com"/>
    <hyperlink ref="I10" r:id="rId10" display="mailto:tom.a@email.com"/>
    <hyperlink ref="I18" r:id="rId11" display="mailto:nina.g@email.com"/>
    <hyperlink ref="I6" r:id="rId12" display="mailto:alex.m@email.com"/>
    <hyperlink ref="I12" r:id="rId13" display="mailto:kevin.w@email.com"/>
    <hyperlink ref="I21" r:id="rId14" display="mailto:priya.s@email.com"/>
    <hyperlink ref="I3" r:id="rId15" display="mailto:daniel.c@email.com"/>
    <hyperlink ref="I13" r:id="rId16" display="mailto:sophia.l@email.com"/>
    <hyperlink ref="I17" r:id="rId17" display="mailto:james.w@email.com"/>
    <hyperlink ref="I5" r:id="rId18" display="mailto:olivia.h@email.com"/>
    <hyperlink ref="I8" r:id="rId19" display="mailto:ethan.a@email.com"/>
    <hyperlink ref="I19" r:id="rId20" display="mailto:chloe.y@e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Imp String Functions</vt:lpstr>
      <vt:lpstr>Basic</vt:lpstr>
      <vt:lpstr>Len|Find|Search</vt:lpstr>
      <vt:lpstr>Text|Value|exact</vt:lpstr>
      <vt:lpstr>Replace</vt:lpstr>
      <vt:lpstr>Left|Right</vt:lpstr>
      <vt:lpstr>Mid.</vt:lpstr>
      <vt:lpstr>Data-01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2026-07-09T05:38:27Z</dcterms:modified>
</cp:coreProperties>
</file>