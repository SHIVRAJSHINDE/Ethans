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6.Project\Inventory Managment\Practice\"/>
    </mc:Choice>
  </mc:AlternateContent>
  <bookViews>
    <workbookView xWindow="0" yWindow="0" windowWidth="23040" windowHeight="7056"/>
  </bookViews>
  <sheets>
    <sheet name="Sheet3" sheetId="3" r:id="rId1"/>
    <sheet name="msf" sheetId="1" r:id="rId2"/>
    <sheet name="Louvre" sheetId="4" r:id="rId3"/>
  </sheets>
  <definedNames>
    <definedName name="_xlnm._FilterDatabase" localSheetId="1" hidden="1">msf!$L$1:$M$12</definedName>
  </definedNames>
  <calcPr calcId="162913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3" l="1"/>
  <c r="J19" i="3"/>
  <c r="J18" i="3"/>
  <c r="J17" i="3"/>
  <c r="J16" i="3"/>
  <c r="I19" i="3"/>
  <c r="I18" i="3"/>
  <c r="I17" i="3"/>
  <c r="J8" i="3"/>
  <c r="J7" i="3"/>
  <c r="J6" i="3"/>
  <c r="J5" i="3"/>
  <c r="J4" i="3"/>
</calcChain>
</file>

<file path=xl/sharedStrings.xml><?xml version="1.0" encoding="utf-8"?>
<sst xmlns="http://schemas.openxmlformats.org/spreadsheetml/2006/main" count="49" uniqueCount="10">
  <si>
    <t>Code</t>
  </si>
  <si>
    <t>Cut_off</t>
  </si>
  <si>
    <t>GY.MINI.1108</t>
  </si>
  <si>
    <t>NR.EUCH.1208</t>
  </si>
  <si>
    <t>DD.FSME.1308</t>
  </si>
  <si>
    <t>DD.MRVL.1408</t>
  </si>
  <si>
    <t>Grand Total</t>
  </si>
  <si>
    <t>Count of Cut_off</t>
  </si>
  <si>
    <r>
      <t xml:space="preserve">countifs(
</t>
    </r>
    <r>
      <rPr>
        <b/>
        <sz val="12"/>
        <color rgb="FFFF0000"/>
        <rFont val="Courier New"/>
        <family val="3"/>
      </rPr>
      <t xml:space="preserve">CriteriaRange_01,
</t>
    </r>
    <r>
      <rPr>
        <b/>
        <sz val="12"/>
        <color theme="5"/>
        <rFont val="Courier New"/>
        <family val="3"/>
      </rPr>
      <t xml:space="preserve">Cri_01,
</t>
    </r>
    <r>
      <rPr>
        <b/>
        <sz val="12"/>
        <color rgb="FF00B050"/>
        <rFont val="Courier New"/>
        <family val="3"/>
      </rPr>
      <t>CriteriaRange_02,</t>
    </r>
    <r>
      <rPr>
        <b/>
        <sz val="12"/>
        <color theme="1"/>
        <rFont val="Courier New"/>
        <family val="3"/>
      </rPr>
      <t xml:space="preserve">
</t>
    </r>
    <r>
      <rPr>
        <b/>
        <sz val="12"/>
        <color theme="9" tint="0.39997558519241921"/>
        <rFont val="Courier New"/>
        <family val="3"/>
      </rPr>
      <t>Cri_02</t>
    </r>
    <r>
      <rPr>
        <b/>
        <sz val="12"/>
        <color theme="1"/>
        <rFont val="Courier New"/>
        <family val="3"/>
      </rPr>
      <t>)</t>
    </r>
  </si>
  <si>
    <r>
      <t xml:space="preserve">=COUNTIFS(
</t>
    </r>
    <r>
      <rPr>
        <b/>
        <sz val="12"/>
        <color rgb="FFFF0000"/>
        <rFont val="Courier New"/>
        <family val="3"/>
      </rPr>
      <t>MSF[[#All],[Code]]</t>
    </r>
    <r>
      <rPr>
        <b/>
        <sz val="12"/>
        <color theme="1"/>
        <rFont val="Courier New"/>
        <family val="3"/>
      </rPr>
      <t xml:space="preserve">,
</t>
    </r>
    <r>
      <rPr>
        <b/>
        <sz val="12"/>
        <color theme="5"/>
        <rFont val="Courier New"/>
        <family val="3"/>
      </rPr>
      <t>Sheet3!$H16</t>
    </r>
    <r>
      <rPr>
        <b/>
        <sz val="12"/>
        <color theme="1"/>
        <rFont val="Courier New"/>
        <family val="3"/>
      </rPr>
      <t xml:space="preserve">,
</t>
    </r>
    <r>
      <rPr>
        <b/>
        <sz val="12"/>
        <color rgb="FF00B050"/>
        <rFont val="Courier New"/>
        <family val="3"/>
      </rPr>
      <t>MSF[[#All],[Cut_off]]</t>
    </r>
    <r>
      <rPr>
        <b/>
        <sz val="12"/>
        <color theme="1"/>
        <rFont val="Courier New"/>
        <family val="3"/>
      </rPr>
      <t xml:space="preserve">,
</t>
    </r>
    <r>
      <rPr>
        <b/>
        <sz val="12"/>
        <color theme="9" tint="0.39997558519241921"/>
        <rFont val="Courier New"/>
        <family val="3"/>
      </rPr>
      <t>Sheet3!$I$14</t>
    </r>
    <r>
      <rPr>
        <b/>
        <sz val="12"/>
        <color theme="1"/>
        <rFont val="Courier New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</si>
</sst>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/yy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b/>
      <sz val="12"/>
      <color rgb="FFFF0000"/>
      <name val="Courier New"/>
      <family val="3"/>
    </font>
    <font>
      <b/>
      <sz val="12"/>
      <color theme="5"/>
      <name val="Courier New"/>
      <family val="3"/>
    </font>
    <font>
      <b/>
      <sz val="12"/>
      <color rgb="FF00B050"/>
      <name val="Courier New"/>
      <family val="3"/>
    </font>
    <font>
      <b/>
      <sz val="12"/>
      <color theme="9" tint="0.3999755851924192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18">
    <xf numFmtId="0" fontId="0" fillId="0" borderId="0" xfId="0"/>
    <xf numFmtId="164" fontId="0" fillId="3" borderId="1" xfId="0" applyNumberFormat="1" applyFont="1" applyFill="1" applyBorder="1"/>
    <xf numFmtId="0" fontId="0" fillId="0" borderId="0" xfId="0" pivotButton="1"/>
    <xf numFmtId="164" fontId="0" fillId="0" borderId="0" xfId="0" applyNumberFormat="1"/>
    <xf numFmtId="0" fontId="3" fillId="0" borderId="2" xfId="0" applyFont="1" applyBorder="1"/>
    <xf numFmtId="0" fontId="0" fillId="0" borderId="0" xfId="0" applyNumberFormat="1"/>
    <xf numFmtId="0" fontId="3" fillId="4" borderId="2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2" fillId="2" borderId="3" xfId="2" applyFont="1" applyFill="1" applyBorder="1"/>
    <xf numFmtId="0" fontId="5" fillId="3" borderId="4" xfId="0" applyFont="1" applyFill="1" applyBorder="1"/>
    <xf numFmtId="164" fontId="0" fillId="3" borderId="4" xfId="0" applyNumberFormat="1" applyFont="1" applyFill="1" applyBorder="1"/>
    <xf numFmtId="166" fontId="0" fillId="0" borderId="0" xfId="1" applyNumberFormat="1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5" fillId="0" borderId="0" xfId="0" applyFont="1"/>
    <xf numFmtId="0" fontId="6" fillId="0" borderId="0" xfId="0" quotePrefix="1" applyFont="1" applyAlignment="1">
      <alignment horizontal="left" vertical="top" wrapText="1"/>
    </xf>
    <xf numFmtId="0" fontId="6" fillId="0" borderId="0" xfId="0" quotePrefix="1" applyFont="1" applyAlignment="1">
      <alignment vertical="top" wrapText="1"/>
    </xf>
  </cellXfs>
  <cellStyles count="3">
    <cellStyle name="Accent2" xfId="2" builtinId="33"/>
    <cellStyle name="Comma" xfId="1" builtinId="3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scheme val="none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left style="thin">
          <color theme="5" tint="0.39997558519241921"/>
        </left>
        <top style="thin">
          <color theme="5" tint="0.39997558519241921"/>
        </top>
        <bottom style="thin">
          <color theme="5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219.450109027777" createdVersion="6" refreshedVersion="6" minRefreshableVersion="3" recordCount="11">
  <cacheSource type="worksheet">
    <worksheetSource ref="L1:M12" sheet="msf"/>
  </cacheSource>
  <cacheFields count="2">
    <cacheField name="Code" numFmtId="0">
      <sharedItems count="4">
        <s v="DD.FSME.1308"/>
        <s v="DD.MRVL.1408"/>
        <s v="GY.MINI.1108"/>
        <s v="NR.EUCH.1208"/>
      </sharedItems>
    </cacheField>
    <cacheField name="Cut_off" numFmtId="164">
      <sharedItems containsSemiMixedTypes="0" containsNonDate="0" containsDate="1" containsString="0" minDate="2026-07-16T00:00:00" maxDate="2026-07-18T00:00:00" count="2">
        <d v="2026-07-16T00:00:00"/>
        <d v="2026-07-17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</r>
  <r>
    <x v="0"/>
    <x v="0"/>
  </r>
  <r>
    <x v="0"/>
    <x v="1"/>
  </r>
  <r>
    <x v="1"/>
    <x v="0"/>
  </r>
  <r>
    <x v="1"/>
    <x v="0"/>
  </r>
  <r>
    <x v="2"/>
    <x v="0"/>
  </r>
  <r>
    <x v="2"/>
    <x v="0"/>
  </r>
  <r>
    <x v="2"/>
    <x v="0"/>
  </r>
  <r>
    <x v="3"/>
    <x v="0"/>
  </r>
  <r>
    <x v="3"/>
    <x v="0"/>
  </r>
  <r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D9" firstHeaderRow="1" firstDataRow="2" firstDataCol="1"/>
  <pivotFields count="2"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numFmtId="164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t_off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ables/table1.xml><?xml version="1.0" encoding="utf-8"?>
<table xmlns="http://schemas.openxmlformats.org/spreadsheetml/2006/main" id="1" name="MSF" displayName="MSF" ref="L1:M12" totalsRowShown="0" headerRowDxfId="0" headerRowBorderDxfId="4" tableBorderDxfId="5" totalsRowBorderDxfId="3" headerRowCellStyle="Accent2">
  <autoFilter ref="L1:M12"/>
  <sortState ref="L2:M11">
    <sortCondition ref="L2:L11"/>
  </sortState>
  <tableColumns count="2">
    <tableColumn id="1" name="Code" dataDxfId="2"/>
    <tableColumn id="2" name="Cut_off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Louvre" displayName="Louvre" ref="L1:M12" totalsRowShown="0">
  <autoFilter ref="L1:M12"/>
  <tableColumns count="2">
    <tableColumn id="1" name="Code"/>
    <tableColumn id="2" name="Cut_o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22"/>
  <sheetViews>
    <sheetView tabSelected="1" topLeftCell="I2" workbookViewId="0">
      <selection activeCell="L3" sqref="L3:R8"/>
    </sheetView>
  </sheetViews>
  <sheetFormatPr defaultRowHeight="14.4" x14ac:dyDescent="0.3"/>
  <cols>
    <col min="1" max="1" width="15.21875" customWidth="1"/>
    <col min="2" max="2" width="9.5546875" bestFit="1" customWidth="1"/>
    <col min="3" max="3" width="9.5546875" customWidth="1"/>
    <col min="4" max="4" width="10.77734375" bestFit="1" customWidth="1"/>
    <col min="8" max="8" width="13.6640625" bestFit="1" customWidth="1"/>
    <col min="9" max="9" width="10.33203125" bestFit="1" customWidth="1"/>
  </cols>
  <sheetData>
    <row r="3" spans="1:20" ht="14.4" customHeight="1" x14ac:dyDescent="0.3">
      <c r="A3" s="2" t="s">
        <v>7</v>
      </c>
      <c r="B3" s="2" t="s">
        <v>1</v>
      </c>
      <c r="H3" s="6" t="s">
        <v>0</v>
      </c>
      <c r="I3" s="6" t="s">
        <v>1</v>
      </c>
      <c r="L3" s="13" t="s">
        <v>8</v>
      </c>
      <c r="M3" s="14"/>
      <c r="N3" s="14"/>
      <c r="O3" s="14"/>
      <c r="P3" s="14"/>
      <c r="Q3" s="14"/>
      <c r="R3" s="14"/>
      <c r="S3" s="15"/>
      <c r="T3" s="15"/>
    </row>
    <row r="4" spans="1:20" ht="14.4" customHeight="1" x14ac:dyDescent="0.3">
      <c r="A4" s="2" t="s">
        <v>0</v>
      </c>
      <c r="B4" s="3">
        <v>46219</v>
      </c>
      <c r="C4" s="3">
        <v>46220</v>
      </c>
      <c r="D4" s="3" t="s">
        <v>6</v>
      </c>
      <c r="H4" s="4" t="s">
        <v>4</v>
      </c>
      <c r="I4" s="3">
        <v>46219</v>
      </c>
      <c r="J4">
        <f>COUNTIFS(MSF[[#All],[Code]],Sheet3!H4,MSF[[#All],[Cut_off]],Sheet3!I4)</f>
        <v>2</v>
      </c>
      <c r="L4" s="14"/>
      <c r="M4" s="14"/>
      <c r="N4" s="14"/>
      <c r="O4" s="14"/>
      <c r="P4" s="14"/>
      <c r="Q4" s="14"/>
      <c r="R4" s="14"/>
      <c r="S4" s="15"/>
      <c r="T4" s="15"/>
    </row>
    <row r="5" spans="1:20" x14ac:dyDescent="0.3">
      <c r="A5" t="s">
        <v>4</v>
      </c>
      <c r="B5" s="5">
        <v>2</v>
      </c>
      <c r="C5" s="5">
        <v>1</v>
      </c>
      <c r="D5" s="5">
        <v>3</v>
      </c>
      <c r="H5" s="4" t="s">
        <v>4</v>
      </c>
      <c r="I5" s="3">
        <v>46220</v>
      </c>
      <c r="J5">
        <f>COUNTIFS(MSF[[#All],[Code]],Sheet3!H5,MSF[[#All],[Cut_off]],Sheet3!I5)</f>
        <v>1</v>
      </c>
      <c r="L5" s="14"/>
      <c r="M5" s="14"/>
      <c r="N5" s="14"/>
      <c r="O5" s="14"/>
      <c r="P5" s="14"/>
      <c r="Q5" s="14"/>
      <c r="R5" s="14"/>
      <c r="S5" s="15"/>
      <c r="T5" s="15"/>
    </row>
    <row r="6" spans="1:20" x14ac:dyDescent="0.3">
      <c r="A6" t="s">
        <v>5</v>
      </c>
      <c r="B6" s="5">
        <v>2</v>
      </c>
      <c r="C6" s="5"/>
      <c r="D6" s="5">
        <v>2</v>
      </c>
      <c r="H6" s="4" t="s">
        <v>5</v>
      </c>
      <c r="I6" s="3">
        <v>46219</v>
      </c>
      <c r="J6">
        <f>COUNTIFS(MSF[[#All],[Code]],Sheet3!H6,MSF[[#All],[Cut_off]],Sheet3!I6)</f>
        <v>2</v>
      </c>
      <c r="L6" s="14"/>
      <c r="M6" s="14"/>
      <c r="N6" s="14"/>
      <c r="O6" s="14"/>
      <c r="P6" s="14"/>
      <c r="Q6" s="14"/>
      <c r="R6" s="14"/>
      <c r="S6" s="15"/>
      <c r="T6" s="15"/>
    </row>
    <row r="7" spans="1:20" x14ac:dyDescent="0.3">
      <c r="A7" t="s">
        <v>2</v>
      </c>
      <c r="B7" s="5">
        <v>3</v>
      </c>
      <c r="C7" s="5"/>
      <c r="D7" s="5">
        <v>3</v>
      </c>
      <c r="H7" s="4" t="s">
        <v>2</v>
      </c>
      <c r="I7" s="3">
        <v>46219</v>
      </c>
      <c r="J7">
        <f>COUNTIFS(MSF[[#All],[Code]],Sheet3!H7,MSF[[#All],[Cut_off]],Sheet3!I7)</f>
        <v>3</v>
      </c>
      <c r="L7" s="14"/>
      <c r="M7" s="14"/>
      <c r="N7" s="14"/>
      <c r="O7" s="14"/>
      <c r="P7" s="14"/>
      <c r="Q7" s="14"/>
      <c r="R7" s="14"/>
      <c r="S7" s="15"/>
      <c r="T7" s="15"/>
    </row>
    <row r="8" spans="1:20" x14ac:dyDescent="0.3">
      <c r="A8" t="s">
        <v>3</v>
      </c>
      <c r="B8" s="5">
        <v>3</v>
      </c>
      <c r="C8" s="5"/>
      <c r="D8" s="5">
        <v>3</v>
      </c>
      <c r="H8" s="4" t="s">
        <v>3</v>
      </c>
      <c r="I8" s="3">
        <v>46219</v>
      </c>
      <c r="J8">
        <f>COUNTIFS(MSF[[#All],[Code]],Sheet3!H8,MSF[[#All],[Cut_off]],Sheet3!I8)</f>
        <v>3</v>
      </c>
      <c r="L8" s="14"/>
      <c r="M8" s="14"/>
      <c r="N8" s="14"/>
      <c r="O8" s="14"/>
      <c r="P8" s="14"/>
      <c r="Q8" s="14"/>
      <c r="R8" s="14"/>
      <c r="S8" s="15"/>
      <c r="T8" s="15"/>
    </row>
    <row r="9" spans="1:20" x14ac:dyDescent="0.3">
      <c r="A9" t="s">
        <v>6</v>
      </c>
      <c r="B9" s="5">
        <v>10</v>
      </c>
      <c r="C9" s="5">
        <v>1</v>
      </c>
      <c r="D9" s="5">
        <v>11</v>
      </c>
      <c r="L9" s="15"/>
      <c r="M9" s="15"/>
      <c r="N9" s="15"/>
      <c r="O9" s="15"/>
      <c r="P9" s="15"/>
      <c r="Q9" s="15"/>
      <c r="R9" s="15"/>
      <c r="S9" s="15"/>
      <c r="T9" s="15"/>
    </row>
    <row r="10" spans="1:20" x14ac:dyDescent="0.3"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4.4" customHeight="1" x14ac:dyDescent="0.3">
      <c r="L11" s="16" t="s">
        <v>9</v>
      </c>
      <c r="M11" s="16"/>
      <c r="N11" s="16"/>
      <c r="O11" s="16"/>
      <c r="P11" s="16"/>
      <c r="Q11" s="16"/>
      <c r="R11" s="16"/>
      <c r="S11" s="17"/>
      <c r="T11" s="17"/>
    </row>
    <row r="12" spans="1:20" ht="14.4" customHeight="1" x14ac:dyDescent="0.3">
      <c r="L12" s="16"/>
      <c r="M12" s="16"/>
      <c r="N12" s="16"/>
      <c r="O12" s="16"/>
      <c r="P12" s="16"/>
      <c r="Q12" s="16"/>
      <c r="R12" s="16"/>
      <c r="S12" s="17"/>
      <c r="T12" s="17"/>
    </row>
    <row r="13" spans="1:20" ht="14.4" customHeight="1" x14ac:dyDescent="0.3">
      <c r="L13" s="16"/>
      <c r="M13" s="16"/>
      <c r="N13" s="16"/>
      <c r="O13" s="16"/>
      <c r="P13" s="16"/>
      <c r="Q13" s="16"/>
      <c r="R13" s="16"/>
      <c r="S13" s="17"/>
      <c r="T13" s="17"/>
    </row>
    <row r="14" spans="1:20" ht="14.4" customHeight="1" x14ac:dyDescent="0.3">
      <c r="I14" s="3">
        <v>46219</v>
      </c>
      <c r="J14" s="3">
        <v>46220</v>
      </c>
      <c r="L14" s="16"/>
      <c r="M14" s="16"/>
      <c r="N14" s="16"/>
      <c r="O14" s="16"/>
      <c r="P14" s="16"/>
      <c r="Q14" s="16"/>
      <c r="R14" s="16"/>
      <c r="S14" s="17"/>
      <c r="T14" s="17"/>
    </row>
    <row r="15" spans="1:20" ht="14.4" customHeight="1" x14ac:dyDescent="0.3">
      <c r="H15" s="6" t="s">
        <v>0</v>
      </c>
      <c r="L15" s="16"/>
      <c r="M15" s="16"/>
      <c r="N15" s="16"/>
      <c r="O15" s="16"/>
      <c r="P15" s="16"/>
      <c r="Q15" s="16"/>
      <c r="R15" s="16"/>
      <c r="S15" s="17"/>
      <c r="T15" s="17"/>
    </row>
    <row r="16" spans="1:20" ht="14.4" customHeight="1" x14ac:dyDescent="0.3">
      <c r="H16" s="4" t="s">
        <v>4</v>
      </c>
      <c r="I16" s="12">
        <f>COUNTIFS(MSF[[#All],[Code]],Sheet3!$H16,MSF[[#All],[Cut_off]],Sheet3!$I$14)+
COUNTIFS(Louvre[[#All],[Code]],Sheet3!$H16,Louvre[[#All],[Cut_off]],Sheet3!$I$14)</f>
        <v>4</v>
      </c>
      <c r="J16" s="12">
        <f>COUNTIFS(MSF[[#All],[Code]],Sheet3!$H16,MSF[[#All],[Cut_off]],Sheet3!$J$14)+
COUNTIFS(Louvre[[#All],[Code]],Sheet3!$H16,Louvre[[#All],[Cut_off]],Sheet3!$J$14)</f>
        <v>2</v>
      </c>
      <c r="L16" s="16"/>
      <c r="M16" s="16"/>
      <c r="N16" s="16"/>
      <c r="O16" s="16"/>
      <c r="P16" s="16"/>
      <c r="Q16" s="16"/>
      <c r="R16" s="16"/>
      <c r="S16" s="17"/>
      <c r="T16" s="17"/>
    </row>
    <row r="17" spans="8:20" ht="14.4" customHeight="1" x14ac:dyDescent="0.3">
      <c r="H17" s="4" t="s">
        <v>5</v>
      </c>
      <c r="I17" s="12">
        <f>COUNTIFS(MSF[[#All],[Code]],Sheet3!$H17,MSF[[#All],[Cut_off]],Sheet3!$I$14)+
COUNTIFS(Louvre[[#All],[Code]],Sheet3!$H17,Louvre[[#All],[Cut_off]],Sheet3!$I$14)</f>
        <v>4</v>
      </c>
      <c r="J17" s="12">
        <f>COUNTIFS(MSF[[#All],[Code]],Sheet3!$H17,MSF[[#All],[Cut_off]],Sheet3!$J$14)+
COUNTIFS(Louvre[[#All],[Code]],Sheet3!$H17,Louvre[[#All],[Cut_off]],Sheet3!$J$14)</f>
        <v>0</v>
      </c>
      <c r="L17" s="16"/>
      <c r="M17" s="16"/>
      <c r="N17" s="16"/>
      <c r="O17" s="16"/>
      <c r="P17" s="16"/>
      <c r="Q17" s="16"/>
      <c r="R17" s="16"/>
      <c r="S17" s="17"/>
      <c r="T17" s="17"/>
    </row>
    <row r="18" spans="8:20" ht="14.4" customHeight="1" x14ac:dyDescent="0.3">
      <c r="H18" s="4" t="s">
        <v>2</v>
      </c>
      <c r="I18" s="12">
        <f>COUNTIFS(MSF[[#All],[Code]],Sheet3!$H18,MSF[[#All],[Cut_off]],Sheet3!$I$14)+
COUNTIFS(Louvre[[#All],[Code]],Sheet3!$H18,Louvre[[#All],[Cut_off]],Sheet3!$I$14)</f>
        <v>6</v>
      </c>
      <c r="J18" s="12">
        <f>COUNTIFS(MSF[[#All],[Code]],Sheet3!$H18,MSF[[#All],[Cut_off]],Sheet3!$J$14)+
COUNTIFS(Louvre[[#All],[Code]],Sheet3!$H18,Louvre[[#All],[Cut_off]],Sheet3!$J$14)</f>
        <v>0</v>
      </c>
      <c r="L18" s="17"/>
      <c r="M18" s="17"/>
      <c r="N18" s="17"/>
      <c r="O18" s="17"/>
      <c r="P18" s="17"/>
      <c r="Q18" s="17"/>
      <c r="R18" s="17"/>
      <c r="S18" s="17"/>
      <c r="T18" s="17"/>
    </row>
    <row r="19" spans="8:20" ht="14.4" customHeight="1" x14ac:dyDescent="0.3">
      <c r="H19" s="4" t="s">
        <v>3</v>
      </c>
      <c r="I19" s="12">
        <f>COUNTIFS(MSF[[#All],[Code]],Sheet3!$H19,MSF[[#All],[Cut_off]],Sheet3!$I$14)+
COUNTIFS(Louvre[[#All],[Code]],Sheet3!$H19,Louvre[[#All],[Cut_off]],Sheet3!$I$14)</f>
        <v>6</v>
      </c>
      <c r="J19" s="12">
        <f>COUNTIFS(MSF[[#All],[Code]],Sheet3!$H19,MSF[[#All],[Cut_off]],Sheet3!$J$14)+
COUNTIFS(Louvre[[#All],[Code]],Sheet3!$H19,Louvre[[#All],[Cut_off]],Sheet3!$J$14)</f>
        <v>0</v>
      </c>
      <c r="L19" s="17"/>
      <c r="M19" s="17"/>
      <c r="N19" s="17"/>
      <c r="O19" s="17"/>
      <c r="P19" s="17"/>
      <c r="Q19" s="17"/>
      <c r="R19" s="17"/>
      <c r="S19" s="17"/>
      <c r="T19" s="17"/>
    </row>
    <row r="20" spans="8:20" ht="14.4" customHeight="1" x14ac:dyDescent="0.3">
      <c r="L20" s="17"/>
      <c r="M20" s="17"/>
      <c r="N20" s="17"/>
      <c r="O20" s="17"/>
      <c r="P20" s="17"/>
      <c r="Q20" s="17"/>
      <c r="R20" s="17"/>
      <c r="S20" s="17"/>
      <c r="T20" s="17"/>
    </row>
    <row r="21" spans="8:20" ht="14.4" customHeight="1" x14ac:dyDescent="0.3">
      <c r="L21" s="17"/>
      <c r="M21" s="17"/>
      <c r="N21" s="17"/>
      <c r="O21" s="17"/>
      <c r="P21" s="17"/>
      <c r="Q21" s="17"/>
      <c r="R21" s="17"/>
      <c r="S21" s="17"/>
      <c r="T21" s="17"/>
    </row>
    <row r="22" spans="8:20" ht="14.4" customHeight="1" x14ac:dyDescent="0.3">
      <c r="L22" s="17"/>
      <c r="M22" s="17"/>
      <c r="N22" s="17"/>
      <c r="O22" s="17"/>
      <c r="P22" s="17"/>
      <c r="Q22" s="17"/>
      <c r="R22" s="17"/>
      <c r="S22" s="17"/>
      <c r="T22" s="17"/>
    </row>
  </sheetData>
  <mergeCells count="2">
    <mergeCell ref="L3:R8"/>
    <mergeCell ref="L11:R17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M12"/>
  <sheetViews>
    <sheetView workbookViewId="0">
      <selection activeCell="L1" sqref="L1:M12"/>
    </sheetView>
  </sheetViews>
  <sheetFormatPr defaultRowHeight="14.4" x14ac:dyDescent="0.3"/>
  <cols>
    <col min="12" max="12" width="15.77734375" bestFit="1" customWidth="1"/>
    <col min="13" max="13" width="9.21875" customWidth="1"/>
  </cols>
  <sheetData>
    <row r="1" spans="12:13" x14ac:dyDescent="0.3">
      <c r="L1" s="9" t="s">
        <v>0</v>
      </c>
      <c r="M1" s="9" t="s">
        <v>1</v>
      </c>
    </row>
    <row r="2" spans="12:13" x14ac:dyDescent="0.3">
      <c r="L2" s="7" t="s">
        <v>4</v>
      </c>
      <c r="M2" s="1">
        <v>46219</v>
      </c>
    </row>
    <row r="3" spans="12:13" x14ac:dyDescent="0.3">
      <c r="L3" s="7" t="s">
        <v>4</v>
      </c>
      <c r="M3" s="1">
        <v>46219</v>
      </c>
    </row>
    <row r="4" spans="12:13" x14ac:dyDescent="0.3">
      <c r="L4" s="7" t="s">
        <v>4</v>
      </c>
      <c r="M4" s="1">
        <v>46220</v>
      </c>
    </row>
    <row r="5" spans="12:13" x14ac:dyDescent="0.3">
      <c r="L5" s="8" t="s">
        <v>5</v>
      </c>
      <c r="M5" s="1">
        <v>46219</v>
      </c>
    </row>
    <row r="6" spans="12:13" x14ac:dyDescent="0.3">
      <c r="L6" s="8" t="s">
        <v>5</v>
      </c>
      <c r="M6" s="1">
        <v>46219</v>
      </c>
    </row>
    <row r="7" spans="12:13" x14ac:dyDescent="0.3">
      <c r="L7" s="7" t="s">
        <v>2</v>
      </c>
      <c r="M7" s="1">
        <v>46219</v>
      </c>
    </row>
    <row r="8" spans="12:13" x14ac:dyDescent="0.3">
      <c r="L8" s="7" t="s">
        <v>2</v>
      </c>
      <c r="M8" s="1">
        <v>46219</v>
      </c>
    </row>
    <row r="9" spans="12:13" x14ac:dyDescent="0.3">
      <c r="L9" s="7" t="s">
        <v>2</v>
      </c>
      <c r="M9" s="1">
        <v>46219</v>
      </c>
    </row>
    <row r="10" spans="12:13" x14ac:dyDescent="0.3">
      <c r="L10" s="8" t="s">
        <v>3</v>
      </c>
      <c r="M10" s="1">
        <v>46219</v>
      </c>
    </row>
    <row r="11" spans="12:13" x14ac:dyDescent="0.3">
      <c r="L11" s="8" t="s">
        <v>3</v>
      </c>
      <c r="M11" s="1">
        <v>46219</v>
      </c>
    </row>
    <row r="12" spans="12:13" x14ac:dyDescent="0.3">
      <c r="L12" s="10" t="s">
        <v>3</v>
      </c>
      <c r="M12" s="11">
        <v>46219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M12"/>
  <sheetViews>
    <sheetView workbookViewId="0">
      <selection activeCell="E5" sqref="E5"/>
    </sheetView>
  </sheetViews>
  <sheetFormatPr defaultRowHeight="14.4" x14ac:dyDescent="0.3"/>
  <cols>
    <col min="13" max="13" width="9.21875" customWidth="1"/>
  </cols>
  <sheetData>
    <row r="1" spans="12:13" x14ac:dyDescent="0.3">
      <c r="L1" t="s">
        <v>0</v>
      </c>
      <c r="M1" t="s">
        <v>1</v>
      </c>
    </row>
    <row r="2" spans="12:13" x14ac:dyDescent="0.3">
      <c r="L2" t="s">
        <v>4</v>
      </c>
      <c r="M2">
        <v>46219</v>
      </c>
    </row>
    <row r="3" spans="12:13" x14ac:dyDescent="0.3">
      <c r="L3" t="s">
        <v>4</v>
      </c>
      <c r="M3">
        <v>46219</v>
      </c>
    </row>
    <row r="4" spans="12:13" x14ac:dyDescent="0.3">
      <c r="L4" t="s">
        <v>4</v>
      </c>
      <c r="M4">
        <v>46220</v>
      </c>
    </row>
    <row r="5" spans="12:13" x14ac:dyDescent="0.3">
      <c r="L5" t="s">
        <v>5</v>
      </c>
      <c r="M5">
        <v>46219</v>
      </c>
    </row>
    <row r="6" spans="12:13" x14ac:dyDescent="0.3">
      <c r="L6" t="s">
        <v>5</v>
      </c>
      <c r="M6">
        <v>46219</v>
      </c>
    </row>
    <row r="7" spans="12:13" x14ac:dyDescent="0.3">
      <c r="L7" t="s">
        <v>2</v>
      </c>
      <c r="M7">
        <v>46219</v>
      </c>
    </row>
    <row r="8" spans="12:13" x14ac:dyDescent="0.3">
      <c r="L8" t="s">
        <v>2</v>
      </c>
      <c r="M8">
        <v>46219</v>
      </c>
    </row>
    <row r="9" spans="12:13" x14ac:dyDescent="0.3">
      <c r="L9" t="s">
        <v>2</v>
      </c>
      <c r="M9">
        <v>46219</v>
      </c>
    </row>
    <row r="10" spans="12:13" x14ac:dyDescent="0.3">
      <c r="L10" t="s">
        <v>3</v>
      </c>
      <c r="M10">
        <v>46219</v>
      </c>
    </row>
    <row r="11" spans="12:13" x14ac:dyDescent="0.3">
      <c r="L11" t="s">
        <v>3</v>
      </c>
      <c r="M11">
        <v>46219</v>
      </c>
    </row>
    <row r="12" spans="12:13" x14ac:dyDescent="0.3">
      <c r="L12" t="s">
        <v>3</v>
      </c>
      <c r="M12">
        <v>46219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msf</vt:lpstr>
      <vt:lpstr>Louvre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2026-07-16T05:03:44Z</dcterms:created>
  <dcterms:modified xsi:type="dcterms:W3CDTF">2026-07-16T05:42:53Z</dcterms:modified>
</cp:coreProperties>
</file>