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ata" sheetId="1" r:id="rId1"/>
    <sheet name="RunningTotal" sheetId="4" r:id="rId2"/>
    <sheet name="Difference" sheetId="5" r:id="rId3"/>
    <sheet name="%Total" sheetId="3" r:id="rId4"/>
    <sheet name="%Difference" sheetId="2" r:id="rId5"/>
    <sheet name="MovingAverage" sheetId="6" r:id="rId6"/>
  </sheets>
  <definedNames>
    <definedName name="_xlnm._FilterDatabase" localSheetId="0" hidden="1">Data!$A$1:$Q$16</definedName>
  </definedNames>
  <calcPr calcId="162913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D5" i="2"/>
  <c r="E4" i="3"/>
  <c r="E6" i="4"/>
  <c r="E5" i="4"/>
  <c r="F22" i="6" l="1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G6" i="2"/>
  <c r="G5" i="2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4" i="4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</calcChain>
</file>

<file path=xl/sharedStrings.xml><?xml version="1.0" encoding="utf-8"?>
<sst xmlns="http://schemas.openxmlformats.org/spreadsheetml/2006/main" count="285" uniqueCount="112">
  <si>
    <t>Customer ID</t>
  </si>
  <si>
    <t>City-State</t>
  </si>
  <si>
    <t>Category</t>
  </si>
  <si>
    <t>Product</t>
  </si>
  <si>
    <t>Sales</t>
  </si>
  <si>
    <t>Profit</t>
  </si>
  <si>
    <t>Phone Number</t>
  </si>
  <si>
    <t>Email</t>
  </si>
  <si>
    <t>C001</t>
  </si>
  <si>
    <t>New York-NY</t>
  </si>
  <si>
    <t>Furniture</t>
  </si>
  <si>
    <t>Office Chair</t>
  </si>
  <si>
    <t>john.smith@email.com</t>
  </si>
  <si>
    <t>C002</t>
  </si>
  <si>
    <t>Los Angeles-CA</t>
  </si>
  <si>
    <t>Technology</t>
  </si>
  <si>
    <t>Laptop</t>
  </si>
  <si>
    <t>emily.j@email.com</t>
  </si>
  <si>
    <t>C003</t>
  </si>
  <si>
    <t>Chicago-IL</t>
  </si>
  <si>
    <t>Office Supplies</t>
  </si>
  <si>
    <t>Notebook</t>
  </si>
  <si>
    <t>michael.b@email.com</t>
  </si>
  <si>
    <t>C004</t>
  </si>
  <si>
    <t>Houston-TX</t>
  </si>
  <si>
    <t>Table</t>
  </si>
  <si>
    <t>sarah.d@email.com</t>
  </si>
  <si>
    <t>C005</t>
  </si>
  <si>
    <t>Phoenix-AZ</t>
  </si>
  <si>
    <t>Printer</t>
  </si>
  <si>
    <t>david.w@email.com</t>
  </si>
  <si>
    <t>C006</t>
  </si>
  <si>
    <t>Philadelphia-PA</t>
  </si>
  <si>
    <t>Pen Set</t>
  </si>
  <si>
    <t>C007</t>
  </si>
  <si>
    <t>San Antonio-TX</t>
  </si>
  <si>
    <t>Sofa</t>
  </si>
  <si>
    <t>daniel.m@email.com</t>
  </si>
  <si>
    <t>C008</t>
  </si>
  <si>
    <t>San Diego-CA</t>
  </si>
  <si>
    <t>ashley.t@email.com</t>
  </si>
  <si>
    <t>C009</t>
  </si>
  <si>
    <t>Dallas-TX</t>
  </si>
  <si>
    <t>Stapler</t>
  </si>
  <si>
    <t>james.a@email.com</t>
  </si>
  <si>
    <t>C010</t>
  </si>
  <si>
    <t>San Jose-CA</t>
  </si>
  <si>
    <t>Bookshelf</t>
  </si>
  <si>
    <t>olivia.t@email.com</t>
  </si>
  <si>
    <t>C011</t>
  </si>
  <si>
    <t>Austin-TX</t>
  </si>
  <si>
    <t>Keyboard</t>
  </si>
  <si>
    <t>william.j@email.com</t>
  </si>
  <si>
    <t>C012</t>
  </si>
  <si>
    <t>Jacksonville-FL</t>
  </si>
  <si>
    <t>File Folder</t>
  </si>
  <si>
    <t>sophia.w@email.com</t>
  </si>
  <si>
    <t>C013</t>
  </si>
  <si>
    <t>Columbus-OH</t>
  </si>
  <si>
    <t>Desk</t>
  </si>
  <si>
    <t>ben.h@email.com</t>
  </si>
  <si>
    <t>C014</t>
  </si>
  <si>
    <t>Charlotte-NC</t>
  </si>
  <si>
    <t>Mouse</t>
  </si>
  <si>
    <t>C015</t>
  </si>
  <si>
    <t>Seattle-WA</t>
  </si>
  <si>
    <t>lucas.t@email.com</t>
  </si>
  <si>
    <t>Boston-MA</t>
  </si>
  <si>
    <t>Miami-FL</t>
  </si>
  <si>
    <t>Calculator</t>
  </si>
  <si>
    <t>Portland-OR</t>
  </si>
  <si>
    <t>Atlanta-GA</t>
  </si>
  <si>
    <t>First Name</t>
  </si>
  <si>
    <t>Last Name</t>
  </si>
  <si>
    <t>Aarav</t>
  </si>
  <si>
    <t>Sharma</t>
  </si>
  <si>
    <t>Ananya</t>
  </si>
  <si>
    <t>Verma</t>
  </si>
  <si>
    <t>Rohan</t>
  </si>
  <si>
    <t>Patel</t>
  </si>
  <si>
    <t>Diya</t>
  </si>
  <si>
    <t>Vivaan</t>
  </si>
  <si>
    <t>Isha</t>
  </si>
  <si>
    <t>Aditya</t>
  </si>
  <si>
    <t>Iyer</t>
  </si>
  <si>
    <t>Kavya</t>
  </si>
  <si>
    <t>Rao</t>
  </si>
  <si>
    <t>Arjun</t>
  </si>
  <si>
    <t>Gupta</t>
  </si>
  <si>
    <t>Priya</t>
  </si>
  <si>
    <t>Singh</t>
  </si>
  <si>
    <t>Reddy</t>
  </si>
  <si>
    <t>Sneha</t>
  </si>
  <si>
    <t>Kabir</t>
  </si>
  <si>
    <t>Meera</t>
  </si>
  <si>
    <t>Siddharth</t>
  </si>
  <si>
    <t>Malhotra</t>
  </si>
  <si>
    <t>App 24</t>
  </si>
  <si>
    <t>Row Labels</t>
  </si>
  <si>
    <t>Grand Total</t>
  </si>
  <si>
    <t>Sum of Sales</t>
  </si>
  <si>
    <t>Running Total</t>
  </si>
  <si>
    <t>Region</t>
  </si>
  <si>
    <t>South</t>
  </si>
  <si>
    <t>North</t>
  </si>
  <si>
    <t>West</t>
  </si>
  <si>
    <t>East</t>
  </si>
  <si>
    <t>Ord_Date</t>
  </si>
  <si>
    <t>Ord_Date_T</t>
  </si>
  <si>
    <t>Ship date</t>
  </si>
  <si>
    <t>Number</t>
  </si>
  <si>
    <t>App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</si>
</sst>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  <font>
      <u/>
      <sz val="10"/>
      <color theme="10"/>
      <name val="Candara"/>
      <family val="2"/>
    </font>
    <font>
      <i/>
      <sz val="10"/>
      <color theme="1"/>
      <name val="Candar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4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5" fontId="3" fillId="0" borderId="1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2" applyFont="1"/>
    <xf numFmtId="9" fontId="0" fillId="0" borderId="0" xfId="3" applyFont="1"/>
    <xf numFmtId="164" fontId="0" fillId="0" borderId="0" xfId="2" applyNumberFormat="1" applyFont="1"/>
    <xf numFmtId="0" fontId="2" fillId="0" borderId="1" xfId="0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vertical="center" wrapText="1"/>
    </xf>
    <xf numFmtId="164" fontId="3" fillId="0" borderId="1" xfId="2" applyNumberFormat="1" applyFont="1" applyBorder="1" applyAlignment="1">
      <alignment horizontal="right" vertic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taClean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30.431699537039" createdVersion="6" refreshedVersion="6" minRefreshableVersion="3" recordCount="20">
  <cacheSource type="worksheet">
    <worksheetSource ref="A1:N21" sheet="Sheet1" r:id="rId2"/>
  </cacheSource>
  <cacheFields count="13">
    <cacheField name="Customer ID" numFmtId="0">
      <sharedItems/>
    </cacheField>
    <cacheField name="Date" numFmtId="15">
      <sharedItems containsSemiMixedTypes="0" containsNonDate="0" containsDate="1" containsString="0" minDate="2026-05-01T00:00:00" maxDate="2026-11-08T00:00:00"/>
    </cacheField>
    <cacheField name="First Name" numFmtId="0">
      <sharedItems containsBlank="1"/>
    </cacheField>
    <cacheField name="Last Name" numFmtId="0">
      <sharedItems containsBlank="1"/>
    </cacheField>
    <cacheField name="City-State" numFmtId="0">
      <sharedItems count="19">
        <s v="New York-NY"/>
        <s v="Los Angeles-CA"/>
        <s v="Chicago-IL"/>
        <s v="Houston-TX"/>
        <s v="Phoenix-AZ"/>
        <s v="Philadelphia-PA"/>
        <s v="San Antonio-TX"/>
        <s v="San Diego-CA"/>
        <s v="Dallas-TX"/>
        <s v="San Jose-CA"/>
        <s v="Austin-TX"/>
        <s v="Jacksonville-FL"/>
        <s v="Columbus-OH"/>
        <s v="Charlotte-NC"/>
        <s v="Seattle-WA"/>
        <s v="Boston-MA"/>
        <s v="Miami-FL"/>
        <s v="Portland-OR"/>
        <s v="Atlanta-GA"/>
      </sharedItems>
    </cacheField>
    <cacheField name="Category" numFmtId="0">
      <sharedItems/>
    </cacheField>
    <cacheField name="Product" numFmtId="0">
      <sharedItems/>
    </cacheField>
    <cacheField name="App 24" numFmtId="0">
      <sharedItems containsSemiMixedTypes="0" containsString="0" containsNumber="1" containsInteger="1" minValue="100" maxValue="290"/>
    </cacheField>
    <cacheField name="App 25" numFmtId="0">
      <sharedItems containsSemiMixedTypes="0" containsString="0" containsNumber="1" containsInteger="1" minValue="100" maxValue="290"/>
    </cacheField>
    <cacheField name="Sales" numFmtId="0">
      <sharedItems containsSemiMixedTypes="0" containsString="0" containsNumber="1" containsInteger="1" minValue="18" maxValue="1200"/>
    </cacheField>
    <cacheField name="Profit" numFmtId="0">
      <sharedItems containsSemiMixedTypes="0" containsString="0" containsNumber="1" containsInteger="1" minValue="-15" maxValue="250"/>
    </cacheField>
    <cacheField name="Phone Number" numFmtId="0">
      <sharedItems containsMixedTypes="1" containsNumber="1" containsInteger="1" minValue="9876543210" maxValue="9876543229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001"/>
    <d v="2026-05-01T00:00:00"/>
    <s v="Aarav"/>
    <s v="Sharma"/>
    <x v="0"/>
    <s v="Furniture"/>
    <s v="Office Chair"/>
    <n v="100"/>
    <n v="100"/>
    <n v="450"/>
    <n v="80"/>
    <n v="9876543210"/>
    <s v="john.smith@email.com"/>
  </r>
  <r>
    <s v="C002"/>
    <d v="2026-05-11T00:00:00"/>
    <s v="Ananya"/>
    <s v="Verma"/>
    <x v="1"/>
    <s v="Technology"/>
    <s v="Laptop"/>
    <n v="110"/>
    <n v="110"/>
    <n v="1200"/>
    <n v="250"/>
    <n v="9876543211"/>
    <s v="emily.j@email.com"/>
  </r>
  <r>
    <s v="C003"/>
    <d v="2026-05-21T00:00:00"/>
    <s v="Rohan"/>
    <s v="Patel"/>
    <x v="2"/>
    <s v="Office Supplies"/>
    <s v="Notebook"/>
    <n v="120"/>
    <n v="120"/>
    <n v="45"/>
    <n v="10"/>
    <n v="9876543212"/>
    <s v="michael.b@email.com"/>
  </r>
  <r>
    <s v="C004"/>
    <d v="2026-05-31T00:00:00"/>
    <s v="Diya"/>
    <s v="Sharma"/>
    <x v="3"/>
    <s v="Furniture"/>
    <s v="Table"/>
    <n v="130"/>
    <n v="140"/>
    <n v="600"/>
    <n v="90"/>
    <n v="9876543213"/>
    <s v="sarah.d@email.com"/>
  </r>
  <r>
    <s v="C005"/>
    <d v="2026-06-10T00:00:00"/>
    <s v="Vivaan"/>
    <s v="Sharma"/>
    <x v="4"/>
    <s v="Technology"/>
    <s v="Printer"/>
    <n v="140"/>
    <n v="140"/>
    <n v="320"/>
    <n v="50"/>
    <s v="(Null)"/>
    <s v="david.w@email.com"/>
  </r>
  <r>
    <s v="C006"/>
    <d v="2026-06-20T00:00:00"/>
    <s v="Isha"/>
    <s v="Sharma"/>
    <x v="5"/>
    <s v="Office Supplies"/>
    <s v="Pen Set"/>
    <n v="150"/>
    <n v="150"/>
    <n v="25"/>
    <n v="5"/>
    <n v="9876543215"/>
    <s v="(Null)"/>
  </r>
  <r>
    <s v="C007"/>
    <d v="2026-06-30T00:00:00"/>
    <s v="Aditya"/>
    <s v="Iyer"/>
    <x v="6"/>
    <s v="Furniture"/>
    <s v="Sofa"/>
    <n v="160"/>
    <n v="160"/>
    <n v="950"/>
    <n v="180"/>
    <n v="9876543216"/>
    <s v="daniel.m@email.com"/>
  </r>
  <r>
    <s v="C008"/>
    <d v="2026-07-10T00:00:00"/>
    <s v="Kavya"/>
    <s v="Rao"/>
    <x v="7"/>
    <s v="Office Supplies"/>
    <s v="Monitor"/>
    <n v="170"/>
    <n v="180"/>
    <n v="380"/>
    <n v="70"/>
    <n v="9876543217"/>
    <s v="ashley.t@email.com"/>
  </r>
  <r>
    <s v="C009"/>
    <d v="2026-07-20T00:00:00"/>
    <s v="Arjun"/>
    <s v="Gupta"/>
    <x v="8"/>
    <s v="Office Supplies"/>
    <s v="Stapler"/>
    <n v="180"/>
    <n v="180"/>
    <n v="35"/>
    <n v="8"/>
    <n v="9876543218"/>
    <s v="james.a@email.com"/>
  </r>
  <r>
    <s v="C010"/>
    <d v="2026-07-30T00:00:00"/>
    <s v="Priya"/>
    <s v="Singh"/>
    <x v="9"/>
    <s v="Furniture"/>
    <s v="Bookshelf"/>
    <n v="190"/>
    <n v="190"/>
    <n v="500"/>
    <n v="100"/>
    <s v="(Null)"/>
    <s v="olivia.t@email.com"/>
  </r>
  <r>
    <s v="C011"/>
    <d v="2026-08-09T00:00:00"/>
    <m/>
    <s v="Reddy"/>
    <x v="10"/>
    <s v="Technology"/>
    <s v="Keyboard"/>
    <n v="200"/>
    <n v="200"/>
    <n v="75"/>
    <n v="18"/>
    <n v="9876543220"/>
    <s v="william.j@email.com"/>
  </r>
  <r>
    <s v="C012"/>
    <d v="2026-08-19T00:00:00"/>
    <s v="Sneha"/>
    <s v="Reddy"/>
    <x v="11"/>
    <s v="Office Supplies"/>
    <s v="File Folder"/>
    <n v="210"/>
    <n v="210"/>
    <n v="40"/>
    <n v="9"/>
    <n v="9876543221"/>
    <s v="sophia.w@email.com"/>
  </r>
  <r>
    <s v="C013"/>
    <d v="2026-08-29T00:00:00"/>
    <s v="Kabir"/>
    <s v="Reddy"/>
    <x v="12"/>
    <s v="Furniture"/>
    <s v="Desk"/>
    <n v="220"/>
    <n v="220"/>
    <n v="700"/>
    <n v="130"/>
    <n v="9876543222"/>
    <s v="ben.h@email.com"/>
  </r>
  <r>
    <s v="C014"/>
    <d v="2026-09-08T00:00:00"/>
    <s v="Meera"/>
    <s v="Reddy"/>
    <x v="13"/>
    <s v="Technology"/>
    <s v="Mouse"/>
    <n v="230"/>
    <n v="240"/>
    <n v="30"/>
    <n v="6"/>
    <n v="9876543223"/>
    <s v="(Null)"/>
  </r>
  <r>
    <s v="C015"/>
    <d v="2026-09-18T00:00:00"/>
    <s v="Siddharth"/>
    <s v="Malhotra"/>
    <x v="14"/>
    <s v="Office Supplies"/>
    <s v="Marker"/>
    <n v="240"/>
    <n v="240"/>
    <n v="18"/>
    <n v="4"/>
    <n v="9876543224"/>
    <s v="lucas.t@email.com"/>
  </r>
  <r>
    <s v="C016"/>
    <d v="2026-09-28T00:00:00"/>
    <s v="Riya"/>
    <s v="Patil"/>
    <x v="14"/>
    <s v="Furniture"/>
    <s v="Cabinet"/>
    <n v="250"/>
    <n v="250"/>
    <n v="850"/>
    <n v="160"/>
    <s v="(Null)"/>
    <s v="isabella.g@email.com"/>
  </r>
  <r>
    <s v="C017"/>
    <d v="2026-10-08T00:00:00"/>
    <s v="Yash"/>
    <m/>
    <x v="15"/>
    <s v="Technology"/>
    <s v="Tablet"/>
    <n v="260"/>
    <n v="260"/>
    <n v="650"/>
    <n v="140"/>
    <n v="9876543226"/>
    <s v="ethan.m@email.com"/>
  </r>
  <r>
    <s v="C018"/>
    <d v="2026-10-18T00:00:00"/>
    <s v="Tanvi"/>
    <s v="Choudhury"/>
    <x v="16"/>
    <s v="Office Supplies"/>
    <s v="Calculator"/>
    <n v="270"/>
    <n v="280"/>
    <n v="55"/>
    <n v="12"/>
    <n v="9876543227"/>
    <s v="ava.r@email.com"/>
  </r>
  <r>
    <s v="C019"/>
    <d v="2026-10-28T00:00:00"/>
    <s v="Vihaan"/>
    <s v="Shinde"/>
    <x v="17"/>
    <s v="Furniture"/>
    <s v="Stool"/>
    <n v="280"/>
    <n v="280"/>
    <n v="120"/>
    <n v="-15"/>
    <n v="9876543228"/>
    <s v="noah.c@email.com"/>
  </r>
  <r>
    <s v="C020"/>
    <d v="2026-11-07T00:00:00"/>
    <s v="Pooja"/>
    <s v="Bhat"/>
    <x v="18"/>
    <s v="Technology"/>
    <s v="Webcam"/>
    <n v="290"/>
    <n v="290"/>
    <n v="95"/>
    <n v="20"/>
    <n v="9876543229"/>
    <s v="charlotte.l@e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3" firstHeaderRow="1" firstDataRow="1" firstDataCol="1"/>
  <pivotFields count="13">
    <pivotField showAll="0"/>
    <pivotField numFmtId="15" showAll="0"/>
    <pivotField showAll="0"/>
    <pivotField showAll="0"/>
    <pivotField axis="axisRow" showAll="0" sortType="ascending">
      <items count="20">
        <item x="18"/>
        <item x="10"/>
        <item x="15"/>
        <item x="13"/>
        <item x="2"/>
        <item x="12"/>
        <item x="8"/>
        <item x="3"/>
        <item x="11"/>
        <item x="1"/>
        <item x="16"/>
        <item x="0"/>
        <item x="5"/>
        <item x="4"/>
        <item x="17"/>
        <item x="6"/>
        <item x="7"/>
        <item x="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2"/>
    </i>
    <i>
      <x v="3"/>
    </i>
    <i>
      <x v="6"/>
    </i>
    <i>
      <x v="8"/>
    </i>
    <i>
      <x v="4"/>
    </i>
    <i>
      <x v="10"/>
    </i>
    <i>
      <x v="1"/>
    </i>
    <i>
      <x/>
    </i>
    <i>
      <x v="14"/>
    </i>
    <i>
      <x v="13"/>
    </i>
    <i>
      <x v="16"/>
    </i>
    <i>
      <x v="11"/>
    </i>
    <i>
      <x v="17"/>
    </i>
    <i>
      <x v="7"/>
    </i>
    <i>
      <x v="2"/>
    </i>
    <i>
      <x v="5"/>
    </i>
    <i>
      <x v="18"/>
    </i>
    <i>
      <x v="15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s.a@email.com" TargetMode="External"/><Relationship Id="rId13" Type="http://schemas.openxmlformats.org/officeDocument/2006/relationships/hyperlink" Target="mailto:lucas.t@email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michael.b@email.com" TargetMode="External"/><Relationship Id="rId7" Type="http://schemas.openxmlformats.org/officeDocument/2006/relationships/hyperlink" Target="mailto:ashley.t@email.com" TargetMode="External"/><Relationship Id="rId12" Type="http://schemas.openxmlformats.org/officeDocument/2006/relationships/hyperlink" Target="mailto:ben.h@email.com" TargetMode="External"/><Relationship Id="rId17" Type="http://schemas.openxmlformats.org/officeDocument/2006/relationships/hyperlink" Target="mailto:lucas.t@email.com" TargetMode="External"/><Relationship Id="rId2" Type="http://schemas.openxmlformats.org/officeDocument/2006/relationships/hyperlink" Target="mailto:emily.j@email.com" TargetMode="External"/><Relationship Id="rId16" Type="http://schemas.openxmlformats.org/officeDocument/2006/relationships/hyperlink" Target="mailto:ben.h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daniel.m@email.com" TargetMode="External"/><Relationship Id="rId11" Type="http://schemas.openxmlformats.org/officeDocument/2006/relationships/hyperlink" Target="mailto:sophia.w@email.com" TargetMode="External"/><Relationship Id="rId5" Type="http://schemas.openxmlformats.org/officeDocument/2006/relationships/hyperlink" Target="mailto:david.w@email.com" TargetMode="External"/><Relationship Id="rId15" Type="http://schemas.openxmlformats.org/officeDocument/2006/relationships/hyperlink" Target="mailto:sophia.w@email.com" TargetMode="External"/><Relationship Id="rId10" Type="http://schemas.openxmlformats.org/officeDocument/2006/relationships/hyperlink" Target="mailto:william.j@email.com" TargetMode="External"/><Relationship Id="rId4" Type="http://schemas.openxmlformats.org/officeDocument/2006/relationships/hyperlink" Target="mailto:sarah.d@email.com" TargetMode="External"/><Relationship Id="rId9" Type="http://schemas.openxmlformats.org/officeDocument/2006/relationships/hyperlink" Target="mailto:olivia.t@email.com" TargetMode="External"/><Relationship Id="rId14" Type="http://schemas.openxmlformats.org/officeDocument/2006/relationships/hyperlink" Target="mailto:william.j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topLeftCell="C1" workbookViewId="0">
      <selection activeCell="K1" sqref="K1"/>
    </sheetView>
  </sheetViews>
  <sheetFormatPr defaultRowHeight="14.4" x14ac:dyDescent="0.3"/>
  <cols>
    <col min="1" max="1" width="13.88671875" style="1" bestFit="1" customWidth="1"/>
    <col min="2" max="2" width="12.21875" style="1" bestFit="1" customWidth="1"/>
    <col min="3" max="3" width="14.5546875" style="1" bestFit="1" customWidth="1"/>
    <col min="4" max="4" width="14.33203125" style="1" bestFit="1" customWidth="1"/>
    <col min="5" max="5" width="12.77734375" style="1" bestFit="1" customWidth="1"/>
    <col min="6" max="6" width="12.44140625" style="1" bestFit="1" customWidth="1"/>
    <col min="7" max="7" width="10.21875" style="1" bestFit="1" customWidth="1"/>
    <col min="8" max="8" width="12" style="1" bestFit="1" customWidth="1"/>
    <col min="9" max="9" width="11.5546875" style="1" bestFit="1" customWidth="1"/>
    <col min="10" max="10" width="10.77734375" style="1" bestFit="1" customWidth="1"/>
    <col min="11" max="11" width="11.21875" style="1" bestFit="1" customWidth="1"/>
    <col min="12" max="12" width="11.109375" style="1" bestFit="1" customWidth="1"/>
    <col min="13" max="13" width="5" style="1" bestFit="1" customWidth="1"/>
    <col min="14" max="14" width="4.88671875" style="1" bestFit="1" customWidth="1"/>
    <col min="15" max="15" width="12" style="1" bestFit="1" customWidth="1"/>
    <col min="16" max="16" width="15.88671875" style="1" bestFit="1" customWidth="1"/>
    <col min="17" max="17" width="17" style="1" bestFit="1" customWidth="1"/>
    <col min="18" max="18" width="8.88671875" style="1"/>
    <col min="21" max="16384" width="8.88671875" style="1"/>
  </cols>
  <sheetData>
    <row r="1" spans="1:17" x14ac:dyDescent="0.3">
      <c r="A1" s="2" t="s">
        <v>0</v>
      </c>
      <c r="B1" s="2" t="s">
        <v>107</v>
      </c>
      <c r="C1" s="16" t="s">
        <v>108</v>
      </c>
      <c r="D1" s="16" t="s">
        <v>109</v>
      </c>
      <c r="E1" s="2" t="s">
        <v>72</v>
      </c>
      <c r="F1" s="2" t="s">
        <v>73</v>
      </c>
      <c r="G1" s="2" t="s">
        <v>102</v>
      </c>
      <c r="H1" s="2" t="s">
        <v>1</v>
      </c>
      <c r="I1" s="2" t="s">
        <v>2</v>
      </c>
      <c r="J1" s="2" t="s">
        <v>3</v>
      </c>
      <c r="K1" s="2" t="s">
        <v>97</v>
      </c>
      <c r="L1" s="2" t="s">
        <v>111</v>
      </c>
      <c r="M1" s="3" t="s">
        <v>4</v>
      </c>
      <c r="N1" s="3" t="s">
        <v>5</v>
      </c>
      <c r="O1" s="3" t="s">
        <v>110</v>
      </c>
      <c r="P1" s="2" t="s">
        <v>6</v>
      </c>
      <c r="Q1" s="2" t="s">
        <v>7</v>
      </c>
    </row>
    <row r="2" spans="1:17" x14ac:dyDescent="0.3">
      <c r="A2" s="4" t="s">
        <v>8</v>
      </c>
      <c r="B2" s="9">
        <v>46143</v>
      </c>
      <c r="C2" s="17">
        <v>46143.362696759257</v>
      </c>
      <c r="D2" s="17">
        <v>46166.362696759257</v>
      </c>
      <c r="E2" s="5" t="s">
        <v>74</v>
      </c>
      <c r="F2" s="5" t="s">
        <v>75</v>
      </c>
      <c r="G2" s="5" t="s">
        <v>106</v>
      </c>
      <c r="H2" s="4" t="s">
        <v>9</v>
      </c>
      <c r="I2" s="4" t="s">
        <v>10</v>
      </c>
      <c r="J2" s="4" t="s">
        <v>11</v>
      </c>
      <c r="K2" s="4">
        <v>100</v>
      </c>
      <c r="L2" s="4">
        <v>100</v>
      </c>
      <c r="M2" s="6">
        <v>450</v>
      </c>
      <c r="N2" s="6">
        <v>80</v>
      </c>
      <c r="O2" s="18">
        <v>90</v>
      </c>
      <c r="P2" s="4">
        <v>9876543210</v>
      </c>
      <c r="Q2" s="7" t="s">
        <v>12</v>
      </c>
    </row>
    <row r="3" spans="1:17" x14ac:dyDescent="0.3">
      <c r="A3" s="4" t="s">
        <v>13</v>
      </c>
      <c r="B3" s="9">
        <v>46153</v>
      </c>
      <c r="C3" s="17">
        <v>46153.602696759262</v>
      </c>
      <c r="D3" s="17">
        <v>46156.602696759262</v>
      </c>
      <c r="E3" s="5" t="s">
        <v>76</v>
      </c>
      <c r="F3" s="5" t="s">
        <v>77</v>
      </c>
      <c r="G3" s="5" t="s">
        <v>106</v>
      </c>
      <c r="H3" s="4" t="s">
        <v>14</v>
      </c>
      <c r="I3" s="4" t="s">
        <v>15</v>
      </c>
      <c r="J3" s="4" t="s">
        <v>16</v>
      </c>
      <c r="K3" s="4">
        <v>110</v>
      </c>
      <c r="L3" s="4">
        <v>110</v>
      </c>
      <c r="M3" s="6">
        <v>1200</v>
      </c>
      <c r="N3" s="6">
        <v>250</v>
      </c>
      <c r="O3" s="18" t="e">
        <v>#DIV/0!</v>
      </c>
      <c r="P3" s="4">
        <v>9876543211</v>
      </c>
      <c r="Q3" s="7" t="s">
        <v>17</v>
      </c>
    </row>
    <row r="4" spans="1:17" x14ac:dyDescent="0.3">
      <c r="A4" s="4" t="s">
        <v>18</v>
      </c>
      <c r="B4" s="9">
        <v>46163</v>
      </c>
      <c r="C4" s="17">
        <v>46163.427499999998</v>
      </c>
      <c r="D4" s="17">
        <v>46231.427499999998</v>
      </c>
      <c r="E4" s="5" t="s">
        <v>78</v>
      </c>
      <c r="F4" s="5" t="s">
        <v>79</v>
      </c>
      <c r="G4" s="5" t="s">
        <v>106</v>
      </c>
      <c r="H4" s="4" t="s">
        <v>19</v>
      </c>
      <c r="I4" s="4" t="s">
        <v>20</v>
      </c>
      <c r="J4" s="4" t="s">
        <v>21</v>
      </c>
      <c r="K4" s="4">
        <v>120</v>
      </c>
      <c r="L4" s="4">
        <v>120</v>
      </c>
      <c r="M4" s="6">
        <v>45</v>
      </c>
      <c r="N4" s="6">
        <v>10</v>
      </c>
      <c r="O4" s="18" t="e">
        <v>#DIV/0!</v>
      </c>
      <c r="P4" s="4">
        <v>9876543212</v>
      </c>
      <c r="Q4" s="7" t="s">
        <v>22</v>
      </c>
    </row>
    <row r="5" spans="1:17" x14ac:dyDescent="0.3">
      <c r="A5" s="4" t="s">
        <v>23</v>
      </c>
      <c r="B5" s="9">
        <v>46173</v>
      </c>
      <c r="C5" s="17">
        <v>46173.825243055559</v>
      </c>
      <c r="D5" s="17">
        <v>46186.825243055559</v>
      </c>
      <c r="E5" s="5" t="s">
        <v>80</v>
      </c>
      <c r="F5" s="5" t="s">
        <v>75</v>
      </c>
      <c r="G5" s="5" t="s">
        <v>105</v>
      </c>
      <c r="H5" s="4" t="s">
        <v>24</v>
      </c>
      <c r="I5" s="4" t="s">
        <v>10</v>
      </c>
      <c r="J5" s="4" t="s">
        <v>25</v>
      </c>
      <c r="K5" s="4">
        <v>130</v>
      </c>
      <c r="L5" s="4">
        <v>140</v>
      </c>
      <c r="M5" s="6">
        <v>600</v>
      </c>
      <c r="N5" s="6">
        <v>90</v>
      </c>
      <c r="O5" s="18">
        <v>200</v>
      </c>
      <c r="P5" s="4">
        <v>9876543213</v>
      </c>
      <c r="Q5" s="7" t="s">
        <v>26</v>
      </c>
    </row>
    <row r="6" spans="1:17" x14ac:dyDescent="0.3">
      <c r="A6" s="4" t="s">
        <v>27</v>
      </c>
      <c r="B6" s="9">
        <v>46183</v>
      </c>
      <c r="C6" s="17">
        <v>46183.315104166664</v>
      </c>
      <c r="D6" s="17">
        <v>46267.315104166664</v>
      </c>
      <c r="E6" s="5" t="s">
        <v>81</v>
      </c>
      <c r="F6" s="5" t="s">
        <v>75</v>
      </c>
      <c r="G6" s="5" t="s">
        <v>104</v>
      </c>
      <c r="H6" s="4" t="s">
        <v>28</v>
      </c>
      <c r="I6" s="4" t="s">
        <v>15</v>
      </c>
      <c r="J6" s="4" t="s">
        <v>29</v>
      </c>
      <c r="K6" s="4">
        <v>140</v>
      </c>
      <c r="L6" s="4">
        <v>140</v>
      </c>
      <c r="M6" s="6">
        <v>320</v>
      </c>
      <c r="N6" s="6">
        <v>50</v>
      </c>
      <c r="O6" s="18">
        <v>320</v>
      </c>
      <c r="P6" s="8"/>
      <c r="Q6" s="7" t="s">
        <v>30</v>
      </c>
    </row>
    <row r="7" spans="1:17" x14ac:dyDescent="0.3">
      <c r="A7" s="4" t="s">
        <v>31</v>
      </c>
      <c r="B7" s="9">
        <v>46193</v>
      </c>
      <c r="C7" s="17">
        <v>46193.702870370369</v>
      </c>
      <c r="D7" s="17">
        <v>46199.702870370369</v>
      </c>
      <c r="E7" s="5" t="s">
        <v>82</v>
      </c>
      <c r="F7" s="5" t="s">
        <v>75</v>
      </c>
      <c r="G7" s="5" t="s">
        <v>103</v>
      </c>
      <c r="H7" s="4" t="s">
        <v>32</v>
      </c>
      <c r="I7" s="4" t="s">
        <v>20</v>
      </c>
      <c r="J7" s="4" t="s">
        <v>33</v>
      </c>
      <c r="K7" s="4">
        <v>150</v>
      </c>
      <c r="L7" s="4">
        <v>150</v>
      </c>
      <c r="M7" s="6">
        <v>25</v>
      </c>
      <c r="N7" s="6">
        <v>5</v>
      </c>
      <c r="O7" s="18">
        <v>12.5</v>
      </c>
      <c r="P7" s="4">
        <v>9876543215</v>
      </c>
      <c r="Q7" s="8"/>
    </row>
    <row r="8" spans="1:17" x14ac:dyDescent="0.3">
      <c r="A8" s="4" t="s">
        <v>34</v>
      </c>
      <c r="B8" s="9">
        <v>46203</v>
      </c>
      <c r="C8" s="17">
        <v>46203.462835648148</v>
      </c>
      <c r="D8" s="17">
        <v>46252.462835648148</v>
      </c>
      <c r="E8" s="5" t="s">
        <v>83</v>
      </c>
      <c r="F8" s="5" t="s">
        <v>84</v>
      </c>
      <c r="G8" s="5" t="s">
        <v>103</v>
      </c>
      <c r="H8" s="4" t="s">
        <v>35</v>
      </c>
      <c r="I8" s="4" t="s">
        <v>10</v>
      </c>
      <c r="J8" s="4" t="s">
        <v>36</v>
      </c>
      <c r="K8" s="4">
        <v>160</v>
      </c>
      <c r="L8" s="4">
        <v>160</v>
      </c>
      <c r="M8" s="6">
        <v>950</v>
      </c>
      <c r="N8" s="6">
        <v>180</v>
      </c>
      <c r="O8" s="18" t="e">
        <v>#DIV/0!</v>
      </c>
      <c r="P8" s="4">
        <v>9876543216</v>
      </c>
      <c r="Q8" s="7" t="s">
        <v>37</v>
      </c>
    </row>
    <row r="9" spans="1:17" x14ac:dyDescent="0.3">
      <c r="A9" s="4" t="s">
        <v>38</v>
      </c>
      <c r="B9" s="9">
        <v>46213</v>
      </c>
      <c r="C9" s="17">
        <v>46213.887430555558</v>
      </c>
      <c r="D9" s="17">
        <v>46306.887430555558</v>
      </c>
      <c r="E9" s="5" t="s">
        <v>85</v>
      </c>
      <c r="F9" s="5" t="s">
        <v>86</v>
      </c>
      <c r="G9" s="5" t="s">
        <v>104</v>
      </c>
      <c r="H9" s="4" t="s">
        <v>39</v>
      </c>
      <c r="I9" s="4" t="s">
        <v>20</v>
      </c>
      <c r="J9" s="4" t="s">
        <v>69</v>
      </c>
      <c r="K9" s="4">
        <v>170</v>
      </c>
      <c r="L9" s="4">
        <v>180</v>
      </c>
      <c r="M9" s="6">
        <v>380</v>
      </c>
      <c r="N9" s="6">
        <v>70</v>
      </c>
      <c r="O9" s="18">
        <v>95</v>
      </c>
      <c r="P9" s="4">
        <v>9876543217</v>
      </c>
      <c r="Q9" s="7" t="s">
        <v>40</v>
      </c>
    </row>
    <row r="10" spans="1:17" x14ac:dyDescent="0.3">
      <c r="A10" s="4" t="s">
        <v>41</v>
      </c>
      <c r="B10" s="9">
        <v>46223</v>
      </c>
      <c r="C10" s="17">
        <v>46223.40152777778</v>
      </c>
      <c r="D10" s="17">
        <v>46320.40152777778</v>
      </c>
      <c r="E10" s="5" t="s">
        <v>87</v>
      </c>
      <c r="F10" s="5" t="s">
        <v>88</v>
      </c>
      <c r="G10" s="5" t="s">
        <v>104</v>
      </c>
      <c r="H10" s="4" t="s">
        <v>42</v>
      </c>
      <c r="I10" s="4" t="s">
        <v>20</v>
      </c>
      <c r="J10" s="4" t="s">
        <v>43</v>
      </c>
      <c r="K10" s="4">
        <v>180</v>
      </c>
      <c r="L10" s="4">
        <v>180</v>
      </c>
      <c r="M10" s="6">
        <v>35</v>
      </c>
      <c r="N10" s="6">
        <v>8</v>
      </c>
      <c r="O10" s="18">
        <v>35</v>
      </c>
      <c r="P10" s="4">
        <v>9876543218</v>
      </c>
      <c r="Q10" s="7" t="s">
        <v>44</v>
      </c>
    </row>
    <row r="11" spans="1:17" x14ac:dyDescent="0.3">
      <c r="A11" s="4" t="s">
        <v>45</v>
      </c>
      <c r="B11" s="9">
        <v>46233</v>
      </c>
      <c r="C11" s="17">
        <v>46233.573344907411</v>
      </c>
      <c r="D11" s="17">
        <v>46245.573344907411</v>
      </c>
      <c r="E11" s="5" t="s">
        <v>89</v>
      </c>
      <c r="F11" s="5" t="s">
        <v>90</v>
      </c>
      <c r="G11" s="5" t="s">
        <v>103</v>
      </c>
      <c r="H11" s="4" t="s">
        <v>46</v>
      </c>
      <c r="I11" s="4" t="s">
        <v>10</v>
      </c>
      <c r="J11" s="4" t="s">
        <v>47</v>
      </c>
      <c r="K11" s="4">
        <v>190</v>
      </c>
      <c r="L11" s="4">
        <v>190</v>
      </c>
      <c r="M11" s="6">
        <v>500</v>
      </c>
      <c r="N11" s="6">
        <v>100</v>
      </c>
      <c r="O11" s="18" t="e">
        <v>#DIV/0!</v>
      </c>
      <c r="P11" s="8"/>
      <c r="Q11" s="7" t="s">
        <v>48</v>
      </c>
    </row>
    <row r="12" spans="1:17" x14ac:dyDescent="0.3">
      <c r="A12" s="4" t="s">
        <v>49</v>
      </c>
      <c r="B12" s="9">
        <v>46243</v>
      </c>
      <c r="C12" s="17">
        <v>46243.768530092595</v>
      </c>
      <c r="D12" s="17">
        <v>46266.768530092595</v>
      </c>
      <c r="E12" s="5" t="s">
        <v>89</v>
      </c>
      <c r="F12" s="5" t="s">
        <v>91</v>
      </c>
      <c r="G12" s="5" t="s">
        <v>105</v>
      </c>
      <c r="H12" s="4" t="s">
        <v>50</v>
      </c>
      <c r="I12" s="4" t="s">
        <v>15</v>
      </c>
      <c r="J12" s="4" t="s">
        <v>51</v>
      </c>
      <c r="K12" s="4">
        <v>200</v>
      </c>
      <c r="L12" s="4">
        <v>200</v>
      </c>
      <c r="M12" s="6">
        <v>75</v>
      </c>
      <c r="N12" s="6">
        <v>18</v>
      </c>
      <c r="O12" s="18">
        <v>37.5</v>
      </c>
      <c r="P12" s="4">
        <v>9876543220</v>
      </c>
      <c r="Q12" s="7" t="s">
        <v>52</v>
      </c>
    </row>
    <row r="13" spans="1:17" x14ac:dyDescent="0.3">
      <c r="A13" s="4" t="s">
        <v>53</v>
      </c>
      <c r="B13" s="9">
        <v>46253</v>
      </c>
      <c r="C13" s="17">
        <v>46253.287766203706</v>
      </c>
      <c r="D13" s="17">
        <v>46286.287766203706</v>
      </c>
      <c r="E13" s="5" t="s">
        <v>92</v>
      </c>
      <c r="F13" s="5" t="s">
        <v>91</v>
      </c>
      <c r="G13" s="5" t="s">
        <v>105</v>
      </c>
      <c r="H13" s="4" t="s">
        <v>54</v>
      </c>
      <c r="I13" s="4" t="s">
        <v>20</v>
      </c>
      <c r="J13" s="4" t="s">
        <v>55</v>
      </c>
      <c r="K13" s="4">
        <v>210</v>
      </c>
      <c r="L13" s="4">
        <v>210</v>
      </c>
      <c r="M13" s="6">
        <v>40</v>
      </c>
      <c r="N13" s="6">
        <v>9</v>
      </c>
      <c r="O13" s="18">
        <v>10</v>
      </c>
      <c r="P13" s="4">
        <v>9876543221</v>
      </c>
      <c r="Q13" s="7" t="s">
        <v>56</v>
      </c>
    </row>
    <row r="14" spans="1:17" x14ac:dyDescent="0.3">
      <c r="A14" s="4" t="s">
        <v>57</v>
      </c>
      <c r="B14" s="9">
        <v>46263</v>
      </c>
      <c r="C14" s="17">
        <v>46263.638749999998</v>
      </c>
      <c r="D14" s="17">
        <v>46265.638749999998</v>
      </c>
      <c r="E14" s="5" t="s">
        <v>93</v>
      </c>
      <c r="F14" s="5" t="s">
        <v>91</v>
      </c>
      <c r="G14" s="5" t="s">
        <v>105</v>
      </c>
      <c r="H14" s="4" t="s">
        <v>58</v>
      </c>
      <c r="I14" s="4" t="s">
        <v>10</v>
      </c>
      <c r="J14" s="4" t="s">
        <v>59</v>
      </c>
      <c r="K14" s="4">
        <v>220</v>
      </c>
      <c r="L14" s="4">
        <v>220</v>
      </c>
      <c r="M14" s="6">
        <v>700</v>
      </c>
      <c r="N14" s="6">
        <v>130</v>
      </c>
      <c r="O14" s="18">
        <v>233.33333333333334</v>
      </c>
      <c r="P14" s="4">
        <v>9876543222</v>
      </c>
      <c r="Q14" s="7" t="s">
        <v>60</v>
      </c>
    </row>
    <row r="15" spans="1:17" x14ac:dyDescent="0.3">
      <c r="A15" s="4" t="s">
        <v>61</v>
      </c>
      <c r="B15" s="9">
        <v>46273</v>
      </c>
      <c r="C15" s="17">
        <v>46273.505266203705</v>
      </c>
      <c r="D15" s="17">
        <v>46335.505266203705</v>
      </c>
      <c r="E15" s="5" t="s">
        <v>94</v>
      </c>
      <c r="F15" s="5" t="s">
        <v>91</v>
      </c>
      <c r="G15" s="5" t="s">
        <v>103</v>
      </c>
      <c r="H15" s="4" t="s">
        <v>62</v>
      </c>
      <c r="I15" s="4" t="s">
        <v>15</v>
      </c>
      <c r="J15" s="4" t="s">
        <v>63</v>
      </c>
      <c r="K15" s="4">
        <v>230</v>
      </c>
      <c r="L15" s="4">
        <v>240</v>
      </c>
      <c r="M15" s="6">
        <v>30</v>
      </c>
      <c r="N15" s="6">
        <v>6</v>
      </c>
      <c r="O15" s="18">
        <v>10</v>
      </c>
      <c r="P15" s="4">
        <v>9876543223</v>
      </c>
      <c r="Q15" s="8"/>
    </row>
    <row r="16" spans="1:17" x14ac:dyDescent="0.3">
      <c r="A16" s="4" t="s">
        <v>64</v>
      </c>
      <c r="B16" s="9">
        <v>46283</v>
      </c>
      <c r="C16" s="17">
        <v>46283.861990740741</v>
      </c>
      <c r="D16" s="17">
        <v>46323.861990740741</v>
      </c>
      <c r="E16" s="5" t="s">
        <v>95</v>
      </c>
      <c r="F16" s="5" t="s">
        <v>96</v>
      </c>
      <c r="G16" s="5" t="s">
        <v>103</v>
      </c>
      <c r="H16" s="4" t="s">
        <v>65</v>
      </c>
      <c r="I16" s="4" t="s">
        <v>20</v>
      </c>
      <c r="J16" s="4" t="s">
        <v>69</v>
      </c>
      <c r="K16" s="4">
        <v>240</v>
      </c>
      <c r="L16" s="4">
        <v>240</v>
      </c>
      <c r="M16" s="6">
        <v>18</v>
      </c>
      <c r="N16" s="6">
        <v>4</v>
      </c>
      <c r="O16" s="18">
        <v>6</v>
      </c>
      <c r="P16" s="4">
        <v>9876543224</v>
      </c>
      <c r="Q16" s="7" t="s">
        <v>66</v>
      </c>
    </row>
    <row r="17" spans="1:17" x14ac:dyDescent="0.3">
      <c r="A17" s="4" t="s">
        <v>49</v>
      </c>
      <c r="B17" s="9">
        <v>46243</v>
      </c>
      <c r="C17" s="17">
        <v>46243.393657407411</v>
      </c>
      <c r="D17" s="17">
        <v>46317.393657407411</v>
      </c>
      <c r="E17" s="5" t="s">
        <v>89</v>
      </c>
      <c r="F17" s="5" t="s">
        <v>91</v>
      </c>
      <c r="G17" s="5" t="s">
        <v>105</v>
      </c>
      <c r="H17" s="4" t="s">
        <v>50</v>
      </c>
      <c r="I17" s="4" t="s">
        <v>15</v>
      </c>
      <c r="J17" s="4" t="s">
        <v>51</v>
      </c>
      <c r="K17" s="4">
        <v>200</v>
      </c>
      <c r="L17" s="4">
        <v>200</v>
      </c>
      <c r="M17" s="6">
        <v>75</v>
      </c>
      <c r="N17" s="6">
        <v>18</v>
      </c>
      <c r="O17" s="18">
        <v>15</v>
      </c>
      <c r="P17" s="4">
        <v>9876543220</v>
      </c>
      <c r="Q17" s="7" t="s">
        <v>52</v>
      </c>
    </row>
    <row r="18" spans="1:17" x14ac:dyDescent="0.3">
      <c r="A18" s="4" t="s">
        <v>53</v>
      </c>
      <c r="B18" s="9">
        <v>46253</v>
      </c>
      <c r="C18" s="17">
        <v>46253.734884259262</v>
      </c>
      <c r="D18" s="17">
        <v>46331.734884259262</v>
      </c>
      <c r="E18" s="5" t="s">
        <v>92</v>
      </c>
      <c r="F18" s="5" t="s">
        <v>91</v>
      </c>
      <c r="G18" s="5" t="s">
        <v>105</v>
      </c>
      <c r="H18" s="4" t="s">
        <v>54</v>
      </c>
      <c r="I18" s="4" t="s">
        <v>20</v>
      </c>
      <c r="J18" s="4" t="s">
        <v>55</v>
      </c>
      <c r="K18" s="4">
        <v>210</v>
      </c>
      <c r="L18" s="4">
        <v>210</v>
      </c>
      <c r="M18" s="6">
        <v>40</v>
      </c>
      <c r="N18" s="6">
        <v>9</v>
      </c>
      <c r="O18" s="18">
        <v>40</v>
      </c>
      <c r="P18" s="4">
        <v>9876543221</v>
      </c>
      <c r="Q18" s="7" t="s">
        <v>56</v>
      </c>
    </row>
    <row r="19" spans="1:17" x14ac:dyDescent="0.3">
      <c r="A19" s="4" t="s">
        <v>57</v>
      </c>
      <c r="B19" s="9">
        <v>46263</v>
      </c>
      <c r="C19" s="17">
        <v>46263.341516203705</v>
      </c>
      <c r="D19" s="17">
        <v>46304.341516203705</v>
      </c>
      <c r="E19" s="5" t="s">
        <v>93</v>
      </c>
      <c r="F19" s="5" t="s">
        <v>91</v>
      </c>
      <c r="G19" s="5" t="s">
        <v>105</v>
      </c>
      <c r="H19" s="4" t="s">
        <v>58</v>
      </c>
      <c r="I19" s="4" t="s">
        <v>10</v>
      </c>
      <c r="J19" s="4" t="s">
        <v>59</v>
      </c>
      <c r="K19" s="4">
        <v>220</v>
      </c>
      <c r="L19" s="4">
        <v>220</v>
      </c>
      <c r="M19" s="6">
        <v>700</v>
      </c>
      <c r="N19" s="6">
        <v>130</v>
      </c>
      <c r="O19" s="18">
        <v>350</v>
      </c>
      <c r="P19" s="4">
        <v>9876543222</v>
      </c>
      <c r="Q19" s="7" t="s">
        <v>60</v>
      </c>
    </row>
    <row r="20" spans="1:17" x14ac:dyDescent="0.3">
      <c r="A20" s="4" t="s">
        <v>61</v>
      </c>
      <c r="B20" s="9">
        <v>46273</v>
      </c>
      <c r="C20" s="17">
        <v>46273.622557870367</v>
      </c>
      <c r="D20" s="17">
        <v>46308.622557870367</v>
      </c>
      <c r="E20" s="5" t="s">
        <v>94</v>
      </c>
      <c r="F20" s="5" t="s">
        <v>91</v>
      </c>
      <c r="G20" s="5" t="s">
        <v>103</v>
      </c>
      <c r="H20" s="4" t="s">
        <v>62</v>
      </c>
      <c r="I20" s="4" t="s">
        <v>15</v>
      </c>
      <c r="J20" s="4" t="s">
        <v>63</v>
      </c>
      <c r="K20" s="4">
        <v>230</v>
      </c>
      <c r="L20" s="4">
        <v>240</v>
      </c>
      <c r="M20" s="6">
        <v>30</v>
      </c>
      <c r="N20" s="6">
        <v>6</v>
      </c>
      <c r="O20" s="18">
        <v>10</v>
      </c>
      <c r="P20" s="4">
        <v>9876543223</v>
      </c>
      <c r="Q20" s="8"/>
    </row>
    <row r="21" spans="1:17" x14ac:dyDescent="0.3">
      <c r="A21" s="4" t="s">
        <v>64</v>
      </c>
      <c r="B21" s="9">
        <v>46283</v>
      </c>
      <c r="C21" s="17">
        <v>46283.475034722222</v>
      </c>
      <c r="D21" s="17">
        <v>46361.475034722222</v>
      </c>
      <c r="E21" s="5" t="s">
        <v>95</v>
      </c>
      <c r="F21" s="5" t="s">
        <v>96</v>
      </c>
      <c r="G21" s="5" t="s">
        <v>103</v>
      </c>
      <c r="H21" s="4" t="s">
        <v>65</v>
      </c>
      <c r="I21" s="4" t="s">
        <v>20</v>
      </c>
      <c r="J21" s="4" t="s">
        <v>69</v>
      </c>
      <c r="K21" s="4">
        <v>240</v>
      </c>
      <c r="L21" s="4">
        <v>240</v>
      </c>
      <c r="M21" s="6">
        <v>18</v>
      </c>
      <c r="N21" s="6">
        <v>4</v>
      </c>
      <c r="O21" s="18">
        <v>6</v>
      </c>
      <c r="P21" s="4">
        <v>9876543224</v>
      </c>
      <c r="Q21" s="7" t="s">
        <v>66</v>
      </c>
    </row>
  </sheetData>
  <autoFilter ref="A1:Q16">
    <sortState ref="A2:N21">
      <sortCondition ref="A2:A21"/>
    </sortState>
  </autoFilter>
  <hyperlinks>
    <hyperlink ref="Q2" r:id="rId1" display="mailto:john.smith@email.com"/>
    <hyperlink ref="Q3" r:id="rId2" display="mailto:emily.j@email.com"/>
    <hyperlink ref="Q4" r:id="rId3" display="mailto:michael.b@email.com"/>
    <hyperlink ref="Q5" r:id="rId4" display="mailto:sarah.d@email.com"/>
    <hyperlink ref="Q6" r:id="rId5" display="mailto:david.w@email.com"/>
    <hyperlink ref="Q8" r:id="rId6" display="mailto:daniel.m@email.com"/>
    <hyperlink ref="Q9" r:id="rId7" display="mailto:ashley.t@email.com"/>
    <hyperlink ref="Q10" r:id="rId8" display="mailto:james.a@email.com"/>
    <hyperlink ref="Q11" r:id="rId9" display="mailto:olivia.t@email.com"/>
    <hyperlink ref="Q12" r:id="rId10" display="mailto:william.j@email.com"/>
    <hyperlink ref="Q13" r:id="rId11" display="mailto:sophia.w@email.com"/>
    <hyperlink ref="Q14" r:id="rId12" display="mailto:ben.h@email.com"/>
    <hyperlink ref="Q16" r:id="rId13" display="mailto:lucas.t@email.com"/>
    <hyperlink ref="Q17" r:id="rId14" display="mailto:william.j@email.com"/>
    <hyperlink ref="Q18" r:id="rId15" display="mailto:sophia.w@email.com"/>
    <hyperlink ref="Q19" r:id="rId16" display="mailto:ben.h@email.com"/>
    <hyperlink ref="Q21" r:id="rId17" display="mailto:lucas.t@email.com"/>
  </hyperlinks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E3" sqref="E3:E22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t="s">
        <v>98</v>
      </c>
      <c r="B3" t="s">
        <v>100</v>
      </c>
      <c r="E3" s="13" t="s">
        <v>101</v>
      </c>
    </row>
    <row r="4" spans="1:5" x14ac:dyDescent="0.3">
      <c r="A4" s="11" t="s">
        <v>32</v>
      </c>
      <c r="B4" s="12">
        <v>25</v>
      </c>
      <c r="E4" s="13">
        <f>SUM($B$4:B4)</f>
        <v>25</v>
      </c>
    </row>
    <row r="5" spans="1:5" x14ac:dyDescent="0.3">
      <c r="A5" s="11" t="s">
        <v>62</v>
      </c>
      <c r="B5" s="12">
        <v>30</v>
      </c>
      <c r="D5" s="13"/>
      <c r="E5" s="13">
        <f>SUM($B$4:B5)</f>
        <v>55</v>
      </c>
    </row>
    <row r="6" spans="1:5" x14ac:dyDescent="0.3">
      <c r="A6" s="11" t="s">
        <v>42</v>
      </c>
      <c r="B6" s="12">
        <v>35</v>
      </c>
      <c r="D6" s="13"/>
      <c r="E6" s="13">
        <f>SUM($B$4:B6)</f>
        <v>90</v>
      </c>
    </row>
    <row r="7" spans="1:5" x14ac:dyDescent="0.3">
      <c r="A7" s="11" t="s">
        <v>54</v>
      </c>
      <c r="B7" s="12">
        <v>40</v>
      </c>
      <c r="D7" s="13"/>
      <c r="E7" s="13">
        <f>SUM($B$4:B7)</f>
        <v>130</v>
      </c>
    </row>
    <row r="8" spans="1:5" x14ac:dyDescent="0.3">
      <c r="A8" s="11" t="s">
        <v>19</v>
      </c>
      <c r="B8" s="12">
        <v>45</v>
      </c>
      <c r="D8" s="13"/>
      <c r="E8" s="13">
        <f>SUM($B$4:B8)</f>
        <v>175</v>
      </c>
    </row>
    <row r="9" spans="1:5" x14ac:dyDescent="0.3">
      <c r="A9" s="11" t="s">
        <v>68</v>
      </c>
      <c r="B9" s="12">
        <v>55</v>
      </c>
      <c r="D9" s="13"/>
      <c r="E9" s="13">
        <f>SUM($B$4:B9)</f>
        <v>230</v>
      </c>
    </row>
    <row r="10" spans="1:5" x14ac:dyDescent="0.3">
      <c r="A10" s="11" t="s">
        <v>50</v>
      </c>
      <c r="B10" s="12">
        <v>75</v>
      </c>
      <c r="D10" s="13"/>
      <c r="E10" s="13">
        <f>SUM($B$4:B10)</f>
        <v>305</v>
      </c>
    </row>
    <row r="11" spans="1:5" x14ac:dyDescent="0.3">
      <c r="A11" s="11" t="s">
        <v>71</v>
      </c>
      <c r="B11" s="12">
        <v>95</v>
      </c>
      <c r="D11" s="13"/>
      <c r="E11" s="13">
        <f>SUM($B$4:B11)</f>
        <v>400</v>
      </c>
    </row>
    <row r="12" spans="1:5" x14ac:dyDescent="0.3">
      <c r="A12" s="11" t="s">
        <v>70</v>
      </c>
      <c r="B12" s="12">
        <v>120</v>
      </c>
      <c r="D12" s="13"/>
      <c r="E12" s="13">
        <f>SUM($B$4:B12)</f>
        <v>520</v>
      </c>
    </row>
    <row r="13" spans="1:5" x14ac:dyDescent="0.3">
      <c r="A13" s="11" t="s">
        <v>28</v>
      </c>
      <c r="B13" s="12">
        <v>320</v>
      </c>
      <c r="D13" s="13"/>
      <c r="E13" s="13">
        <f>SUM($B$4:B13)</f>
        <v>840</v>
      </c>
    </row>
    <row r="14" spans="1:5" x14ac:dyDescent="0.3">
      <c r="A14" s="11" t="s">
        <v>39</v>
      </c>
      <c r="B14" s="12">
        <v>380</v>
      </c>
      <c r="D14" s="13"/>
      <c r="E14" s="13">
        <f>SUM($B$4:B14)</f>
        <v>1220</v>
      </c>
    </row>
    <row r="15" spans="1:5" x14ac:dyDescent="0.3">
      <c r="A15" s="11" t="s">
        <v>9</v>
      </c>
      <c r="B15" s="12">
        <v>450</v>
      </c>
      <c r="D15" s="13"/>
      <c r="E15" s="13">
        <f>SUM($B$4:B15)</f>
        <v>1670</v>
      </c>
    </row>
    <row r="16" spans="1:5" x14ac:dyDescent="0.3">
      <c r="A16" s="11" t="s">
        <v>46</v>
      </c>
      <c r="B16" s="12">
        <v>500</v>
      </c>
      <c r="D16" s="13"/>
      <c r="E16" s="13">
        <f>SUM($B$4:B16)</f>
        <v>2170</v>
      </c>
    </row>
    <row r="17" spans="1:5" x14ac:dyDescent="0.3">
      <c r="A17" s="11" t="s">
        <v>24</v>
      </c>
      <c r="B17" s="12">
        <v>600</v>
      </c>
      <c r="D17" s="13"/>
      <c r="E17" s="13">
        <f>SUM($B$4:B17)</f>
        <v>2770</v>
      </c>
    </row>
    <row r="18" spans="1:5" x14ac:dyDescent="0.3">
      <c r="A18" s="11" t="s">
        <v>67</v>
      </c>
      <c r="B18" s="12">
        <v>650</v>
      </c>
      <c r="D18" s="13"/>
      <c r="E18" s="13">
        <f>SUM($B$4:B18)</f>
        <v>3420</v>
      </c>
    </row>
    <row r="19" spans="1:5" x14ac:dyDescent="0.3">
      <c r="A19" s="11" t="s">
        <v>58</v>
      </c>
      <c r="B19" s="12">
        <v>700</v>
      </c>
      <c r="D19" s="13"/>
      <c r="E19" s="13">
        <f>SUM($B$4:B19)</f>
        <v>4120</v>
      </c>
    </row>
    <row r="20" spans="1:5" x14ac:dyDescent="0.3">
      <c r="A20" s="11" t="s">
        <v>65</v>
      </c>
      <c r="B20" s="12">
        <v>868</v>
      </c>
      <c r="D20" s="13"/>
      <c r="E20" s="13">
        <f>SUM($B$4:B20)</f>
        <v>4988</v>
      </c>
    </row>
    <row r="21" spans="1:5" x14ac:dyDescent="0.3">
      <c r="A21" s="11" t="s">
        <v>35</v>
      </c>
      <c r="B21" s="12">
        <v>950</v>
      </c>
      <c r="D21" s="13"/>
      <c r="E21" s="13">
        <f>SUM($B$4:B21)</f>
        <v>5938</v>
      </c>
    </row>
    <row r="22" spans="1:5" x14ac:dyDescent="0.3">
      <c r="A22" s="11" t="s">
        <v>14</v>
      </c>
      <c r="B22" s="12">
        <v>1200</v>
      </c>
      <c r="D22" s="13"/>
      <c r="E22" s="13">
        <f>SUM($B$4:B22)</f>
        <v>7138</v>
      </c>
    </row>
    <row r="23" spans="1:5" x14ac:dyDescent="0.3">
      <c r="A23" s="11" t="s">
        <v>99</v>
      </c>
      <c r="B23" s="12">
        <v>7138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t="s">
        <v>98</v>
      </c>
      <c r="B3" t="s">
        <v>100</v>
      </c>
    </row>
    <row r="4" spans="1:5" x14ac:dyDescent="0.3">
      <c r="A4" s="11" t="s">
        <v>32</v>
      </c>
      <c r="B4" s="12">
        <v>25</v>
      </c>
    </row>
    <row r="5" spans="1:5" x14ac:dyDescent="0.3">
      <c r="A5" s="11" t="s">
        <v>62</v>
      </c>
      <c r="B5" s="12">
        <v>30</v>
      </c>
      <c r="D5" s="13"/>
      <c r="E5" s="13">
        <f>SUM(B5-B4)</f>
        <v>5</v>
      </c>
    </row>
    <row r="6" spans="1:5" x14ac:dyDescent="0.3">
      <c r="A6" s="11" t="s">
        <v>42</v>
      </c>
      <c r="B6" s="12">
        <v>35</v>
      </c>
      <c r="D6" s="13"/>
      <c r="E6" s="13">
        <f t="shared" ref="E6:E22" si="0">SUM(B6-B5)</f>
        <v>5</v>
      </c>
    </row>
    <row r="7" spans="1:5" x14ac:dyDescent="0.3">
      <c r="A7" s="11" t="s">
        <v>54</v>
      </c>
      <c r="B7" s="12">
        <v>40</v>
      </c>
      <c r="D7" s="13"/>
      <c r="E7" s="13">
        <f t="shared" si="0"/>
        <v>5</v>
      </c>
    </row>
    <row r="8" spans="1:5" x14ac:dyDescent="0.3">
      <c r="A8" s="11" t="s">
        <v>19</v>
      </c>
      <c r="B8" s="12">
        <v>45</v>
      </c>
      <c r="D8" s="13"/>
      <c r="E8" s="13">
        <f t="shared" si="0"/>
        <v>5</v>
      </c>
    </row>
    <row r="9" spans="1:5" x14ac:dyDescent="0.3">
      <c r="A9" s="11" t="s">
        <v>68</v>
      </c>
      <c r="B9" s="12">
        <v>55</v>
      </c>
      <c r="D9" s="13"/>
      <c r="E9" s="13">
        <f t="shared" si="0"/>
        <v>10</v>
      </c>
    </row>
    <row r="10" spans="1:5" x14ac:dyDescent="0.3">
      <c r="A10" s="11" t="s">
        <v>50</v>
      </c>
      <c r="B10" s="12">
        <v>75</v>
      </c>
      <c r="D10" s="13"/>
      <c r="E10" s="13">
        <f t="shared" si="0"/>
        <v>20</v>
      </c>
    </row>
    <row r="11" spans="1:5" x14ac:dyDescent="0.3">
      <c r="A11" s="11" t="s">
        <v>71</v>
      </c>
      <c r="B11" s="12">
        <v>95</v>
      </c>
      <c r="D11" s="13"/>
      <c r="E11" s="13">
        <f t="shared" si="0"/>
        <v>20</v>
      </c>
    </row>
    <row r="12" spans="1:5" x14ac:dyDescent="0.3">
      <c r="A12" s="11" t="s">
        <v>70</v>
      </c>
      <c r="B12" s="12">
        <v>120</v>
      </c>
      <c r="D12" s="13"/>
      <c r="E12" s="13">
        <f t="shared" si="0"/>
        <v>25</v>
      </c>
    </row>
    <row r="13" spans="1:5" x14ac:dyDescent="0.3">
      <c r="A13" s="11" t="s">
        <v>28</v>
      </c>
      <c r="B13" s="12">
        <v>320</v>
      </c>
      <c r="D13" s="13"/>
      <c r="E13" s="13">
        <f t="shared" si="0"/>
        <v>200</v>
      </c>
    </row>
    <row r="14" spans="1:5" x14ac:dyDescent="0.3">
      <c r="A14" s="11" t="s">
        <v>39</v>
      </c>
      <c r="B14" s="12">
        <v>380</v>
      </c>
      <c r="D14" s="13"/>
      <c r="E14" s="13">
        <f t="shared" si="0"/>
        <v>60</v>
      </c>
    </row>
    <row r="15" spans="1:5" x14ac:dyDescent="0.3">
      <c r="A15" s="11" t="s">
        <v>9</v>
      </c>
      <c r="B15" s="12">
        <v>450</v>
      </c>
      <c r="D15" s="13"/>
      <c r="E15" s="13">
        <f t="shared" si="0"/>
        <v>70</v>
      </c>
    </row>
    <row r="16" spans="1:5" x14ac:dyDescent="0.3">
      <c r="A16" s="11" t="s">
        <v>46</v>
      </c>
      <c r="B16" s="12">
        <v>500</v>
      </c>
      <c r="D16" s="13"/>
      <c r="E16" s="13">
        <f t="shared" si="0"/>
        <v>50</v>
      </c>
    </row>
    <row r="17" spans="1:5" x14ac:dyDescent="0.3">
      <c r="A17" s="11" t="s">
        <v>24</v>
      </c>
      <c r="B17" s="12">
        <v>600</v>
      </c>
      <c r="D17" s="13"/>
      <c r="E17" s="13">
        <f t="shared" si="0"/>
        <v>100</v>
      </c>
    </row>
    <row r="18" spans="1:5" x14ac:dyDescent="0.3">
      <c r="A18" s="11" t="s">
        <v>67</v>
      </c>
      <c r="B18" s="12">
        <v>650</v>
      </c>
      <c r="D18" s="13"/>
      <c r="E18" s="13">
        <f t="shared" si="0"/>
        <v>50</v>
      </c>
    </row>
    <row r="19" spans="1:5" x14ac:dyDescent="0.3">
      <c r="A19" s="11" t="s">
        <v>58</v>
      </c>
      <c r="B19" s="12">
        <v>700</v>
      </c>
      <c r="D19" s="13"/>
      <c r="E19" s="13">
        <f t="shared" si="0"/>
        <v>50</v>
      </c>
    </row>
    <row r="20" spans="1:5" x14ac:dyDescent="0.3">
      <c r="A20" s="11" t="s">
        <v>65</v>
      </c>
      <c r="B20" s="12">
        <v>868</v>
      </c>
      <c r="D20" s="13"/>
      <c r="E20" s="13">
        <f t="shared" si="0"/>
        <v>168</v>
      </c>
    </row>
    <row r="21" spans="1:5" x14ac:dyDescent="0.3">
      <c r="A21" s="11" t="s">
        <v>35</v>
      </c>
      <c r="B21" s="12">
        <v>950</v>
      </c>
      <c r="D21" s="13"/>
      <c r="E21" s="13">
        <f t="shared" si="0"/>
        <v>82</v>
      </c>
    </row>
    <row r="22" spans="1:5" x14ac:dyDescent="0.3">
      <c r="A22" s="11" t="s">
        <v>14</v>
      </c>
      <c r="B22" s="12">
        <v>1200</v>
      </c>
      <c r="D22" s="13"/>
      <c r="E22" s="13">
        <f t="shared" si="0"/>
        <v>250</v>
      </c>
    </row>
    <row r="23" spans="1:5" x14ac:dyDescent="0.3">
      <c r="A23" s="11" t="s">
        <v>99</v>
      </c>
      <c r="B23" s="12">
        <v>7138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3"/>
  <sheetViews>
    <sheetView workbookViewId="0">
      <selection activeCell="E4" sqref="E4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  <col min="5" max="5" width="9.44140625" style="13" bestFit="1" customWidth="1"/>
  </cols>
  <sheetData>
    <row r="3" spans="1:5" x14ac:dyDescent="0.3">
      <c r="A3" s="10" t="s">
        <v>98</v>
      </c>
      <c r="B3" t="s">
        <v>100</v>
      </c>
    </row>
    <row r="4" spans="1:5" x14ac:dyDescent="0.3">
      <c r="A4" s="11" t="s">
        <v>32</v>
      </c>
      <c r="B4" s="12">
        <v>25</v>
      </c>
      <c r="E4" s="13">
        <f>((B4/$B$23)*100)</f>
        <v>0.35023816195012608</v>
      </c>
    </row>
    <row r="5" spans="1:5" x14ac:dyDescent="0.3">
      <c r="A5" s="11" t="s">
        <v>62</v>
      </c>
      <c r="B5" s="12">
        <v>30</v>
      </c>
      <c r="D5" s="13"/>
      <c r="E5" s="13">
        <f t="shared" ref="E5:E20" si="0">((B5/$B$23)*100)</f>
        <v>0.42028579434015129</v>
      </c>
    </row>
    <row r="6" spans="1:5" x14ac:dyDescent="0.3">
      <c r="A6" s="11" t="s">
        <v>42</v>
      </c>
      <c r="B6" s="12">
        <v>35</v>
      </c>
      <c r="D6" s="13"/>
      <c r="E6" s="13">
        <f t="shared" si="0"/>
        <v>0.49033342673017655</v>
      </c>
    </row>
    <row r="7" spans="1:5" x14ac:dyDescent="0.3">
      <c r="A7" s="11" t="s">
        <v>54</v>
      </c>
      <c r="B7" s="12">
        <v>40</v>
      </c>
      <c r="D7" s="13"/>
      <c r="E7" s="13">
        <f t="shared" si="0"/>
        <v>0.56038105912020175</v>
      </c>
    </row>
    <row r="8" spans="1:5" x14ac:dyDescent="0.3">
      <c r="A8" s="11" t="s">
        <v>19</v>
      </c>
      <c r="B8" s="12">
        <v>45</v>
      </c>
      <c r="D8" s="13"/>
      <c r="E8" s="13">
        <f t="shared" si="0"/>
        <v>0.63042869151022696</v>
      </c>
    </row>
    <row r="9" spans="1:5" x14ac:dyDescent="0.3">
      <c r="A9" s="11" t="s">
        <v>68</v>
      </c>
      <c r="B9" s="12">
        <v>55</v>
      </c>
      <c r="D9" s="13"/>
      <c r="E9" s="13">
        <f t="shared" si="0"/>
        <v>0.77052395629027737</v>
      </c>
    </row>
    <row r="10" spans="1:5" x14ac:dyDescent="0.3">
      <c r="A10" s="11" t="s">
        <v>50</v>
      </c>
      <c r="B10" s="12">
        <v>75</v>
      </c>
      <c r="D10" s="13"/>
      <c r="E10" s="13">
        <f t="shared" si="0"/>
        <v>1.0507144858503783</v>
      </c>
    </row>
    <row r="11" spans="1:5" x14ac:dyDescent="0.3">
      <c r="A11" s="11" t="s">
        <v>71</v>
      </c>
      <c r="B11" s="12">
        <v>95</v>
      </c>
      <c r="D11" s="13"/>
      <c r="E11" s="13">
        <f t="shared" si="0"/>
        <v>1.3309050154104791</v>
      </c>
    </row>
    <row r="12" spans="1:5" x14ac:dyDescent="0.3">
      <c r="A12" s="11" t="s">
        <v>70</v>
      </c>
      <c r="B12" s="12">
        <v>120</v>
      </c>
      <c r="D12" s="13"/>
      <c r="E12" s="13">
        <f t="shared" si="0"/>
        <v>1.6811431773606051</v>
      </c>
    </row>
    <row r="13" spans="1:5" x14ac:dyDescent="0.3">
      <c r="A13" s="11" t="s">
        <v>28</v>
      </c>
      <c r="B13" s="12">
        <v>320</v>
      </c>
      <c r="D13" s="13"/>
      <c r="E13" s="13">
        <f t="shared" si="0"/>
        <v>4.483048472961614</v>
      </c>
    </row>
    <row r="14" spans="1:5" x14ac:dyDescent="0.3">
      <c r="A14" s="11" t="s">
        <v>39</v>
      </c>
      <c r="B14" s="12">
        <v>380</v>
      </c>
      <c r="D14" s="13"/>
      <c r="E14" s="13">
        <f t="shared" si="0"/>
        <v>5.3236200616419165</v>
      </c>
    </row>
    <row r="15" spans="1:5" x14ac:dyDescent="0.3">
      <c r="A15" s="11" t="s">
        <v>9</v>
      </c>
      <c r="B15" s="12">
        <v>450</v>
      </c>
      <c r="D15" s="13"/>
      <c r="E15" s="13">
        <f t="shared" si="0"/>
        <v>6.3042869151022698</v>
      </c>
    </row>
    <row r="16" spans="1:5" x14ac:dyDescent="0.3">
      <c r="A16" s="11" t="s">
        <v>46</v>
      </c>
      <c r="B16" s="12">
        <v>500</v>
      </c>
      <c r="D16" s="13"/>
      <c r="E16" s="13">
        <f t="shared" si="0"/>
        <v>7.0047632390025223</v>
      </c>
    </row>
    <row r="17" spans="1:5" x14ac:dyDescent="0.3">
      <c r="A17" s="11" t="s">
        <v>24</v>
      </c>
      <c r="B17" s="12">
        <v>600</v>
      </c>
      <c r="D17" s="13"/>
      <c r="E17" s="13">
        <f t="shared" si="0"/>
        <v>8.4057158868030264</v>
      </c>
    </row>
    <row r="18" spans="1:5" x14ac:dyDescent="0.3">
      <c r="A18" s="11" t="s">
        <v>67</v>
      </c>
      <c r="B18" s="12">
        <v>650</v>
      </c>
      <c r="D18" s="13"/>
      <c r="E18" s="13">
        <f t="shared" si="0"/>
        <v>9.1061922107032789</v>
      </c>
    </row>
    <row r="19" spans="1:5" x14ac:dyDescent="0.3">
      <c r="A19" s="11" t="s">
        <v>58</v>
      </c>
      <c r="B19" s="12">
        <v>700</v>
      </c>
      <c r="D19" s="13"/>
      <c r="E19" s="13">
        <f t="shared" si="0"/>
        <v>9.8066685346035296</v>
      </c>
    </row>
    <row r="20" spans="1:5" x14ac:dyDescent="0.3">
      <c r="A20" s="11" t="s">
        <v>65</v>
      </c>
      <c r="B20" s="12">
        <v>868</v>
      </c>
      <c r="D20" s="13"/>
      <c r="E20" s="13">
        <f t="shared" si="0"/>
        <v>12.160268982908377</v>
      </c>
    </row>
    <row r="21" spans="1:5" x14ac:dyDescent="0.3">
      <c r="A21" s="11" t="s">
        <v>35</v>
      </c>
      <c r="B21" s="12">
        <v>950</v>
      </c>
      <c r="D21" s="13"/>
      <c r="E21" s="13">
        <f t="shared" ref="E21:E22" si="1">((B21/$B$23)*100)</f>
        <v>13.30905015410479</v>
      </c>
    </row>
    <row r="22" spans="1:5" x14ac:dyDescent="0.3">
      <c r="A22" s="11" t="s">
        <v>14</v>
      </c>
      <c r="B22" s="12">
        <v>1200</v>
      </c>
      <c r="D22" s="13"/>
      <c r="E22" s="13">
        <f t="shared" si="1"/>
        <v>16.811431773606053</v>
      </c>
    </row>
    <row r="23" spans="1:5" x14ac:dyDescent="0.3">
      <c r="A23" s="11" t="s">
        <v>99</v>
      </c>
      <c r="B23" s="12">
        <v>7138</v>
      </c>
      <c r="E23" s="13">
        <f>((B23/$B$23)*100)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workbookViewId="0">
      <selection activeCell="D7" sqref="D7"/>
    </sheetView>
  </sheetViews>
  <sheetFormatPr defaultRowHeight="14.4" x14ac:dyDescent="0.3"/>
  <cols>
    <col min="1" max="1" width="13.6640625" bestFit="1" customWidth="1"/>
    <col min="2" max="2" width="11.6640625" bestFit="1" customWidth="1"/>
    <col min="4" max="4" width="8.88671875" style="14"/>
  </cols>
  <sheetData>
    <row r="3" spans="1:7" x14ac:dyDescent="0.3">
      <c r="A3" s="10" t="s">
        <v>98</v>
      </c>
      <c r="B3" t="s">
        <v>100</v>
      </c>
      <c r="G3">
        <v>25</v>
      </c>
    </row>
    <row r="4" spans="1:7" x14ac:dyDescent="0.3">
      <c r="A4" s="11" t="s">
        <v>32</v>
      </c>
      <c r="B4" s="12">
        <v>25</v>
      </c>
      <c r="G4">
        <v>0.2</v>
      </c>
    </row>
    <row r="5" spans="1:7" x14ac:dyDescent="0.3">
      <c r="A5" s="11" t="s">
        <v>62</v>
      </c>
      <c r="B5" s="12">
        <v>30</v>
      </c>
      <c r="D5" s="14">
        <f>(B5-B4)/B4</f>
        <v>0.2</v>
      </c>
      <c r="G5">
        <f>G3*G4</f>
        <v>5</v>
      </c>
    </row>
    <row r="6" spans="1:7" x14ac:dyDescent="0.3">
      <c r="A6" s="11" t="s">
        <v>42</v>
      </c>
      <c r="B6" s="12">
        <v>35</v>
      </c>
      <c r="D6" s="14">
        <f>(B6-B5)/B5</f>
        <v>0.16666666666666666</v>
      </c>
      <c r="G6">
        <f>G3+G5</f>
        <v>30</v>
      </c>
    </row>
    <row r="7" spans="1:7" x14ac:dyDescent="0.3">
      <c r="A7" s="11" t="s">
        <v>54</v>
      </c>
      <c r="B7" s="12">
        <v>40</v>
      </c>
      <c r="D7" s="14">
        <f t="shared" ref="D7:D22" si="0">(B7-B6)/B6</f>
        <v>0.14285714285714285</v>
      </c>
    </row>
    <row r="8" spans="1:7" x14ac:dyDescent="0.3">
      <c r="A8" s="11" t="s">
        <v>19</v>
      </c>
      <c r="B8" s="12">
        <v>45</v>
      </c>
      <c r="D8" s="14">
        <f t="shared" si="0"/>
        <v>0.125</v>
      </c>
    </row>
    <row r="9" spans="1:7" x14ac:dyDescent="0.3">
      <c r="A9" s="11" t="s">
        <v>68</v>
      </c>
      <c r="B9" s="12">
        <v>55</v>
      </c>
      <c r="D9" s="14">
        <f t="shared" si="0"/>
        <v>0.22222222222222221</v>
      </c>
    </row>
    <row r="10" spans="1:7" x14ac:dyDescent="0.3">
      <c r="A10" s="11" t="s">
        <v>50</v>
      </c>
      <c r="B10" s="12">
        <v>75</v>
      </c>
      <c r="D10" s="14">
        <f t="shared" si="0"/>
        <v>0.36363636363636365</v>
      </c>
    </row>
    <row r="11" spans="1:7" x14ac:dyDescent="0.3">
      <c r="A11" s="11" t="s">
        <v>71</v>
      </c>
      <c r="B11" s="12">
        <v>95</v>
      </c>
      <c r="D11" s="14">
        <f t="shared" si="0"/>
        <v>0.26666666666666666</v>
      </c>
    </row>
    <row r="12" spans="1:7" x14ac:dyDescent="0.3">
      <c r="A12" s="11" t="s">
        <v>70</v>
      </c>
      <c r="B12" s="12">
        <v>120</v>
      </c>
      <c r="D12" s="14">
        <f t="shared" si="0"/>
        <v>0.26315789473684209</v>
      </c>
    </row>
    <row r="13" spans="1:7" x14ac:dyDescent="0.3">
      <c r="A13" s="11" t="s">
        <v>28</v>
      </c>
      <c r="B13" s="12">
        <v>320</v>
      </c>
      <c r="D13" s="14">
        <f t="shared" si="0"/>
        <v>1.6666666666666667</v>
      </c>
    </row>
    <row r="14" spans="1:7" x14ac:dyDescent="0.3">
      <c r="A14" s="11" t="s">
        <v>39</v>
      </c>
      <c r="B14" s="12">
        <v>380</v>
      </c>
      <c r="D14" s="14">
        <f t="shared" si="0"/>
        <v>0.1875</v>
      </c>
    </row>
    <row r="15" spans="1:7" x14ac:dyDescent="0.3">
      <c r="A15" s="11" t="s">
        <v>9</v>
      </c>
      <c r="B15" s="12">
        <v>450</v>
      </c>
      <c r="D15" s="14">
        <f t="shared" si="0"/>
        <v>0.18421052631578946</v>
      </c>
    </row>
    <row r="16" spans="1:7" x14ac:dyDescent="0.3">
      <c r="A16" s="11" t="s">
        <v>46</v>
      </c>
      <c r="B16" s="12">
        <v>500</v>
      </c>
      <c r="D16" s="14">
        <f t="shared" si="0"/>
        <v>0.1111111111111111</v>
      </c>
    </row>
    <row r="17" spans="1:4" x14ac:dyDescent="0.3">
      <c r="A17" s="11" t="s">
        <v>24</v>
      </c>
      <c r="B17" s="12">
        <v>600</v>
      </c>
      <c r="D17" s="14">
        <f t="shared" si="0"/>
        <v>0.2</v>
      </c>
    </row>
    <row r="18" spans="1:4" x14ac:dyDescent="0.3">
      <c r="A18" s="11" t="s">
        <v>67</v>
      </c>
      <c r="B18" s="12">
        <v>650</v>
      </c>
      <c r="D18" s="14">
        <f t="shared" si="0"/>
        <v>8.3333333333333329E-2</v>
      </c>
    </row>
    <row r="19" spans="1:4" x14ac:dyDescent="0.3">
      <c r="A19" s="11" t="s">
        <v>58</v>
      </c>
      <c r="B19" s="12">
        <v>700</v>
      </c>
      <c r="D19" s="14">
        <f t="shared" si="0"/>
        <v>7.6923076923076927E-2</v>
      </c>
    </row>
    <row r="20" spans="1:4" x14ac:dyDescent="0.3">
      <c r="A20" s="11" t="s">
        <v>65</v>
      </c>
      <c r="B20" s="12">
        <v>868</v>
      </c>
      <c r="D20" s="14">
        <f t="shared" si="0"/>
        <v>0.24</v>
      </c>
    </row>
    <row r="21" spans="1:4" x14ac:dyDescent="0.3">
      <c r="A21" s="11" t="s">
        <v>35</v>
      </c>
      <c r="B21" s="12">
        <v>950</v>
      </c>
      <c r="D21" s="14">
        <f t="shared" si="0"/>
        <v>9.4470046082949302E-2</v>
      </c>
    </row>
    <row r="22" spans="1:4" x14ac:dyDescent="0.3">
      <c r="A22" s="11" t="s">
        <v>14</v>
      </c>
      <c r="B22" s="12">
        <v>1200</v>
      </c>
      <c r="D22" s="14">
        <f t="shared" si="0"/>
        <v>0.26315789473684209</v>
      </c>
    </row>
    <row r="23" spans="1:4" x14ac:dyDescent="0.3">
      <c r="A23" s="11" t="s">
        <v>99</v>
      </c>
      <c r="B23" s="12">
        <v>7138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3"/>
  <sheetViews>
    <sheetView workbookViewId="0">
      <selection activeCell="K10" sqref="K10"/>
    </sheetView>
  </sheetViews>
  <sheetFormatPr defaultRowHeight="14.4" x14ac:dyDescent="0.3"/>
  <cols>
    <col min="1" max="1" width="13.6640625" bestFit="1" customWidth="1"/>
    <col min="2" max="2" width="11.6640625" bestFit="1" customWidth="1"/>
    <col min="6" max="6" width="8.88671875" style="15"/>
  </cols>
  <sheetData>
    <row r="3" spans="1:6" x14ac:dyDescent="0.3">
      <c r="A3" s="10" t="s">
        <v>98</v>
      </c>
      <c r="B3" t="s">
        <v>100</v>
      </c>
    </row>
    <row r="4" spans="1:6" x14ac:dyDescent="0.3">
      <c r="A4" s="11" t="s">
        <v>32</v>
      </c>
      <c r="B4" s="12">
        <v>25</v>
      </c>
      <c r="C4">
        <v>1</v>
      </c>
      <c r="E4">
        <f>SUM($B$4:C4)</f>
        <v>26</v>
      </c>
      <c r="F4" s="15">
        <f>SUM($B$4:B4)/SUM($C$4:C4)</f>
        <v>25</v>
      </c>
    </row>
    <row r="5" spans="1:6" x14ac:dyDescent="0.3">
      <c r="A5" s="11" t="s">
        <v>62</v>
      </c>
      <c r="B5" s="12">
        <v>30</v>
      </c>
      <c r="C5">
        <v>1</v>
      </c>
      <c r="E5">
        <f>SUM($B$4:B5)</f>
        <v>55</v>
      </c>
      <c r="F5" s="15">
        <f>SUM($B$4:B5)/SUM($C$4:C5)</f>
        <v>27.5</v>
      </c>
    </row>
    <row r="6" spans="1:6" x14ac:dyDescent="0.3">
      <c r="A6" s="11" t="s">
        <v>42</v>
      </c>
      <c r="B6" s="12">
        <v>35</v>
      </c>
      <c r="C6">
        <v>1</v>
      </c>
      <c r="E6">
        <f>SUM($B$4:B6)</f>
        <v>90</v>
      </c>
      <c r="F6" s="15">
        <f>SUM($B$4:B6)/SUM($C$4:C6)</f>
        <v>30</v>
      </c>
    </row>
    <row r="7" spans="1:6" x14ac:dyDescent="0.3">
      <c r="A7" s="11" t="s">
        <v>54</v>
      </c>
      <c r="B7" s="12">
        <v>40</v>
      </c>
      <c r="C7">
        <v>1</v>
      </c>
      <c r="E7">
        <f>SUM($B$4:B7)</f>
        <v>130</v>
      </c>
      <c r="F7" s="15">
        <f>SUM($B$4:B7)/SUM($C$4:C7)</f>
        <v>32.5</v>
      </c>
    </row>
    <row r="8" spans="1:6" x14ac:dyDescent="0.3">
      <c r="A8" s="11" t="s">
        <v>19</v>
      </c>
      <c r="B8" s="12">
        <v>45</v>
      </c>
      <c r="C8">
        <v>1</v>
      </c>
      <c r="E8">
        <f>SUM($B$4:B8)</f>
        <v>175</v>
      </c>
      <c r="F8" s="15">
        <f>SUM($B$4:B8)/SUM($C$4:C8)</f>
        <v>35</v>
      </c>
    </row>
    <row r="9" spans="1:6" x14ac:dyDescent="0.3">
      <c r="A9" s="11" t="s">
        <v>68</v>
      </c>
      <c r="B9" s="12">
        <v>55</v>
      </c>
      <c r="C9">
        <v>1</v>
      </c>
      <c r="E9">
        <f>SUM($B$4:B9)</f>
        <v>230</v>
      </c>
      <c r="F9" s="15">
        <f>SUM($B$4:B9)/SUM($C$4:C9)</f>
        <v>38.333333333333336</v>
      </c>
    </row>
    <row r="10" spans="1:6" x14ac:dyDescent="0.3">
      <c r="A10" s="11" t="s">
        <v>50</v>
      </c>
      <c r="B10" s="12">
        <v>75</v>
      </c>
      <c r="C10">
        <v>1</v>
      </c>
      <c r="E10">
        <f>SUM($B$4:B10)</f>
        <v>305</v>
      </c>
      <c r="F10" s="15">
        <f>SUM($B$4:B10)/SUM($C$4:C10)</f>
        <v>43.571428571428569</v>
      </c>
    </row>
    <row r="11" spans="1:6" x14ac:dyDescent="0.3">
      <c r="A11" s="11" t="s">
        <v>71</v>
      </c>
      <c r="B11" s="12">
        <v>95</v>
      </c>
      <c r="C11">
        <v>1</v>
      </c>
      <c r="E11">
        <f>SUM($B$4:B11)</f>
        <v>400</v>
      </c>
      <c r="F11" s="15">
        <f>SUM($B$4:B11)/SUM($C$4:C11)</f>
        <v>50</v>
      </c>
    </row>
    <row r="12" spans="1:6" x14ac:dyDescent="0.3">
      <c r="A12" s="11" t="s">
        <v>70</v>
      </c>
      <c r="B12" s="12">
        <v>120</v>
      </c>
      <c r="C12">
        <v>1</v>
      </c>
      <c r="E12">
        <f>SUM($B$4:B12)</f>
        <v>520</v>
      </c>
      <c r="F12" s="15">
        <f>SUM($B$4:B12)/SUM($C$4:C12)</f>
        <v>57.777777777777779</v>
      </c>
    </row>
    <row r="13" spans="1:6" x14ac:dyDescent="0.3">
      <c r="A13" s="11" t="s">
        <v>28</v>
      </c>
      <c r="B13" s="12">
        <v>320</v>
      </c>
      <c r="C13">
        <v>1</v>
      </c>
      <c r="E13">
        <f>SUM($B$4:B13)</f>
        <v>840</v>
      </c>
      <c r="F13" s="15">
        <f>SUM($B$4:B13)/SUM($C$4:C13)</f>
        <v>84</v>
      </c>
    </row>
    <row r="14" spans="1:6" x14ac:dyDescent="0.3">
      <c r="A14" s="11" t="s">
        <v>39</v>
      </c>
      <c r="B14" s="12">
        <v>380</v>
      </c>
      <c r="C14">
        <v>1</v>
      </c>
      <c r="E14">
        <f>SUM($B$4:B14)</f>
        <v>1220</v>
      </c>
      <c r="F14" s="15">
        <f>SUM($B$4:B14)/SUM($C$4:C14)</f>
        <v>110.90909090909091</v>
      </c>
    </row>
    <row r="15" spans="1:6" x14ac:dyDescent="0.3">
      <c r="A15" s="11" t="s">
        <v>9</v>
      </c>
      <c r="B15" s="12">
        <v>450</v>
      </c>
      <c r="C15">
        <v>1</v>
      </c>
      <c r="E15">
        <f>SUM($B$4:B15)</f>
        <v>1670</v>
      </c>
      <c r="F15" s="15">
        <f>SUM($B$4:B15)/SUM($C$4:C15)</f>
        <v>139.16666666666666</v>
      </c>
    </row>
    <row r="16" spans="1:6" x14ac:dyDescent="0.3">
      <c r="A16" s="11" t="s">
        <v>46</v>
      </c>
      <c r="B16" s="12">
        <v>500</v>
      </c>
      <c r="C16">
        <v>1</v>
      </c>
      <c r="E16">
        <f>SUM($B$4:B16)</f>
        <v>2170</v>
      </c>
      <c r="F16" s="15">
        <f>SUM($B$4:B16)/SUM($C$4:C16)</f>
        <v>166.92307692307693</v>
      </c>
    </row>
    <row r="17" spans="1:6" x14ac:dyDescent="0.3">
      <c r="A17" s="11" t="s">
        <v>24</v>
      </c>
      <c r="B17" s="12">
        <v>600</v>
      </c>
      <c r="C17">
        <v>1</v>
      </c>
      <c r="E17">
        <f>SUM($B$4:B17)</f>
        <v>2770</v>
      </c>
      <c r="F17" s="15">
        <f>SUM($B$4:B17)/SUM($C$4:C17)</f>
        <v>197.85714285714286</v>
      </c>
    </row>
    <row r="18" spans="1:6" x14ac:dyDescent="0.3">
      <c r="A18" s="11" t="s">
        <v>67</v>
      </c>
      <c r="B18" s="12">
        <v>650</v>
      </c>
      <c r="C18">
        <v>1</v>
      </c>
      <c r="E18">
        <f>SUM($B$4:B18)</f>
        <v>3420</v>
      </c>
      <c r="F18" s="15">
        <f>SUM($B$4:B18)/SUM($C$4:C18)</f>
        <v>228</v>
      </c>
    </row>
    <row r="19" spans="1:6" x14ac:dyDescent="0.3">
      <c r="A19" s="11" t="s">
        <v>58</v>
      </c>
      <c r="B19" s="12">
        <v>700</v>
      </c>
      <c r="C19">
        <v>1</v>
      </c>
      <c r="E19">
        <f>SUM($B$4:B19)</f>
        <v>4120</v>
      </c>
      <c r="F19" s="15">
        <f>SUM($B$4:B19)/SUM($C$4:C19)</f>
        <v>257.5</v>
      </c>
    </row>
    <row r="20" spans="1:6" x14ac:dyDescent="0.3">
      <c r="A20" s="11" t="s">
        <v>65</v>
      </c>
      <c r="B20" s="12">
        <v>868</v>
      </c>
      <c r="C20">
        <v>1</v>
      </c>
      <c r="E20">
        <f>SUM($B$4:B20)</f>
        <v>4988</v>
      </c>
      <c r="F20" s="15">
        <f>SUM($B$4:B20)/SUM($C$4:C20)</f>
        <v>293.41176470588238</v>
      </c>
    </row>
    <row r="21" spans="1:6" x14ac:dyDescent="0.3">
      <c r="A21" s="11" t="s">
        <v>35</v>
      </c>
      <c r="B21" s="12">
        <v>950</v>
      </c>
      <c r="C21">
        <v>1</v>
      </c>
      <c r="E21">
        <f>SUM($B$4:B21)</f>
        <v>5938</v>
      </c>
      <c r="F21" s="15">
        <f>SUM($B$4:B21)/SUM($C$4:C21)</f>
        <v>329.88888888888891</v>
      </c>
    </row>
    <row r="22" spans="1:6" x14ac:dyDescent="0.3">
      <c r="A22" s="11" t="s">
        <v>14</v>
      </c>
      <c r="B22" s="12">
        <v>1200</v>
      </c>
      <c r="C22">
        <v>1</v>
      </c>
      <c r="E22">
        <f>SUM($B$4:B22)</f>
        <v>7138</v>
      </c>
      <c r="F22" s="15">
        <f>SUM($B$4:B22)/SUM($C$4:C22)</f>
        <v>375.68421052631578</v>
      </c>
    </row>
    <row r="23" spans="1:6" x14ac:dyDescent="0.3">
      <c r="A23" s="11" t="s">
        <v>99</v>
      </c>
      <c r="B23" s="12">
        <v>7138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RunningTotal</vt:lpstr>
      <vt:lpstr>Difference</vt:lpstr>
      <vt:lpstr>%Total</vt:lpstr>
      <vt:lpstr>%Difference</vt:lpstr>
      <vt:lpstr>MovingAverage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2026-08-17T09:43:41Z</dcterms:modified>
</cp:coreProperties>
</file>