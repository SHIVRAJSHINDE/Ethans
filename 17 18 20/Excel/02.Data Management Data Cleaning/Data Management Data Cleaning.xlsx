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02.Data Management Data Cleaning\"/>
    </mc:Choice>
  </mc:AlternateContent>
  <bookViews>
    <workbookView xWindow="0" yWindow="0" windowWidth="23040" windowHeight="9072" firstSheet="1" activeTab="6"/>
  </bookViews>
  <sheets>
    <sheet name="Sheet5" sheetId="13" r:id="rId1"/>
    <sheet name="Sorting &amp; Filtering" sheetId="14" r:id="rId2"/>
    <sheet name="Duplicates" sheetId="15" r:id="rId3"/>
    <sheet name="Data Validation" sheetId="4" r:id="rId4"/>
    <sheet name="TEXT TO COLUMN" sheetId="17" r:id="rId5"/>
    <sheet name="RawDATA" sheetId="16" r:id="rId6"/>
    <sheet name="ApplyFormula &amp; use of $" sheetId="20" r:id="rId7"/>
  </sheets>
  <definedNames>
    <definedName name="_xlnm._FilterDatabase" localSheetId="3" hidden="1">RawDATA!$A$7:$P$156</definedName>
    <definedName name="_xlnm._FilterDatabase" localSheetId="5" hidden="1">RawDATA!$A$7:$P$156</definedName>
    <definedName name="_xlnm._FilterDatabase" localSheetId="1" hidden="1">'Sorting &amp; Filtering'!$A$4:$H$19</definedName>
    <definedName name="_xlnm._FilterDatabase" localSheetId="4" hidden="1">RawDATA!$A$7:$P$156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0" l="1"/>
  <c r="I2" i="20"/>
  <c r="H7" i="20"/>
  <c r="H6" i="20"/>
  <c r="H5" i="20"/>
  <c r="H4" i="20"/>
  <c r="H3" i="20"/>
  <c r="H2" i="20"/>
  <c r="L2" i="20"/>
  <c r="K2" i="20"/>
  <c r="B3" i="20"/>
  <c r="B4" i="20" s="1"/>
  <c r="B5" i="20" s="1"/>
  <c r="B6" i="20" s="1"/>
  <c r="B7" i="20" s="1"/>
  <c r="D3" i="20"/>
  <c r="D4" i="20" s="1"/>
  <c r="D5" i="20" s="1"/>
  <c r="D6" i="20" s="1"/>
  <c r="D7" i="20" s="1"/>
  <c r="C3" i="20"/>
  <c r="C4" i="20" s="1"/>
  <c r="C5" i="20" s="1"/>
  <c r="C6" i="20" s="1"/>
  <c r="C7" i="20" s="1"/>
  <c r="G3" i="15" l="1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</calcChain>
</file>

<file path=xl/sharedStrings.xml><?xml version="1.0" encoding="utf-8"?>
<sst xmlns="http://schemas.openxmlformats.org/spreadsheetml/2006/main" count="1848" uniqueCount="216">
  <si>
    <t>passanger</t>
  </si>
  <si>
    <t>weather</t>
  </si>
  <si>
    <t>temperature</t>
  </si>
  <si>
    <t>time</t>
  </si>
  <si>
    <t>coupon</t>
  </si>
  <si>
    <t>expiration</t>
  </si>
  <si>
    <t>gender</t>
  </si>
  <si>
    <t>age</t>
  </si>
  <si>
    <t>maritalStatus</t>
  </si>
  <si>
    <t>has_children</t>
  </si>
  <si>
    <t>education</t>
  </si>
  <si>
    <t>occupation</t>
  </si>
  <si>
    <t>No Urgent Place</t>
  </si>
  <si>
    <t>Friend(s)</t>
  </si>
  <si>
    <t>Sunny</t>
  </si>
  <si>
    <t>6PM</t>
  </si>
  <si>
    <t>Restaurant(&lt;20)</t>
  </si>
  <si>
    <t>1d</t>
  </si>
  <si>
    <t>Male</t>
  </si>
  <si>
    <t>Unmarried partner</t>
  </si>
  <si>
    <t>Some college - no degree</t>
  </si>
  <si>
    <t>Student</t>
  </si>
  <si>
    <t>Work</t>
  </si>
  <si>
    <t>Alone</t>
  </si>
  <si>
    <t>7AM</t>
  </si>
  <si>
    <t>2h</t>
  </si>
  <si>
    <t>Single</t>
  </si>
  <si>
    <t>Bachelors degree</t>
  </si>
  <si>
    <t>10AM</t>
  </si>
  <si>
    <t>Coffee House</t>
  </si>
  <si>
    <t>Female</t>
  </si>
  <si>
    <t>Married partner</t>
  </si>
  <si>
    <t>Rainy</t>
  </si>
  <si>
    <t>Computer &amp; Mathematical</t>
  </si>
  <si>
    <t>Home</t>
  </si>
  <si>
    <t>Snowy</t>
  </si>
  <si>
    <t>Unemployed</t>
  </si>
  <si>
    <t>Restaurant(20-50)</t>
  </si>
  <si>
    <t>50plus</t>
  </si>
  <si>
    <t>Healthcare Support</t>
  </si>
  <si>
    <t>Divorced</t>
  </si>
  <si>
    <t>Graduate degree (Masters or Doctorate)</t>
  </si>
  <si>
    <t>Retired</t>
  </si>
  <si>
    <t>Associates degree</t>
  </si>
  <si>
    <t>10PM</t>
  </si>
  <si>
    <t>Bar</t>
  </si>
  <si>
    <t>High School Graduate</t>
  </si>
  <si>
    <t>Food Preparation &amp; Serving Related</t>
  </si>
  <si>
    <t>Partner</t>
  </si>
  <si>
    <t>Sales &amp; Related</t>
  </si>
  <si>
    <t>Architecture &amp; Engineering</t>
  </si>
  <si>
    <t>Education&amp;Training&amp;Library</t>
  </si>
  <si>
    <t>Arts Design Entertainment Sports &amp; Media</t>
  </si>
  <si>
    <t>Kid(s)</t>
  </si>
  <si>
    <t>Management</t>
  </si>
  <si>
    <t>Community &amp; Social Services</t>
  </si>
  <si>
    <t>2PM</t>
  </si>
  <si>
    <t>Life Physical Social Science</t>
  </si>
  <si>
    <t>Carry out &amp; Take away</t>
  </si>
  <si>
    <t>Transportation &amp; Material Moving</t>
  </si>
  <si>
    <t>Farming Fishing &amp; Forestry</t>
  </si>
  <si>
    <t>below21</t>
  </si>
  <si>
    <t>Business &amp; Financial</t>
  </si>
  <si>
    <t>Office &amp; Administrative Support</t>
  </si>
  <si>
    <t>Legal</t>
  </si>
  <si>
    <t>Personal Care &amp; Service</t>
  </si>
  <si>
    <t>Healthcare Practitioners &amp; Technical</t>
  </si>
  <si>
    <t>Protective Service</t>
  </si>
  <si>
    <t>Building &amp; Grounds Cleaning &amp; Maintenance</t>
  </si>
  <si>
    <t>Widowed</t>
  </si>
  <si>
    <t>Production Occupations</t>
  </si>
  <si>
    <t>Destination</t>
  </si>
  <si>
    <t>Date</t>
  </si>
  <si>
    <t>Cost</t>
  </si>
  <si>
    <t>Proffit</t>
  </si>
  <si>
    <t>Data Management &amp; Data Cleaning</t>
  </si>
  <si>
    <t>Sorting &amp; Filtering (Advanced Filter)</t>
  </si>
  <si>
    <t>Data Validation (drop-downs, restrictions)</t>
  </si>
  <si>
    <t>Remove Duplicates</t>
  </si>
  <si>
    <t>Text to Columns</t>
  </si>
  <si>
    <t>Conditional Formatting (rules, color scales, icons)</t>
  </si>
  <si>
    <t>Practice exercises</t>
  </si>
  <si>
    <t>First Name</t>
  </si>
  <si>
    <t>Last Name</t>
  </si>
  <si>
    <t>Age</t>
  </si>
  <si>
    <t>Amit</t>
  </si>
  <si>
    <t>Sharma</t>
  </si>
  <si>
    <t>Priya</t>
  </si>
  <si>
    <t>Nair</t>
  </si>
  <si>
    <t>Rahul</t>
  </si>
  <si>
    <t>Verma</t>
  </si>
  <si>
    <t>Sneha</t>
  </si>
  <si>
    <t>Patil</t>
  </si>
  <si>
    <t>David</t>
  </si>
  <si>
    <t>Miller</t>
  </si>
  <si>
    <t>Elena</t>
  </si>
  <si>
    <t>Rossi</t>
  </si>
  <si>
    <t>James</t>
  </si>
  <si>
    <t>Wilson</t>
  </si>
  <si>
    <t>Sarah</t>
  </si>
  <si>
    <t>Chen</t>
  </si>
  <si>
    <t>Omar</t>
  </si>
  <si>
    <t>Khan</t>
  </si>
  <si>
    <t>Yuki</t>
  </si>
  <si>
    <t>Tanaka</t>
  </si>
  <si>
    <t>Category</t>
  </si>
  <si>
    <t>Sub-Category</t>
  </si>
  <si>
    <t>Salary</t>
  </si>
  <si>
    <t>Stock Level</t>
  </si>
  <si>
    <t>Furniture</t>
  </si>
  <si>
    <t>Office Chairs</t>
  </si>
  <si>
    <t>Home Appliances</t>
  </si>
  <si>
    <t>Kitchen</t>
  </si>
  <si>
    <t>Tables</t>
  </si>
  <si>
    <t>Laundry</t>
  </si>
  <si>
    <t>Climate Control</t>
  </si>
  <si>
    <t>Storage</t>
  </si>
  <si>
    <t>Arjun</t>
  </si>
  <si>
    <t>Gupta</t>
  </si>
  <si>
    <t>Mei</t>
  </si>
  <si>
    <t>Ling</t>
  </si>
  <si>
    <t>PATIL</t>
  </si>
  <si>
    <t>aroda</t>
  </si>
  <si>
    <t>prakash</t>
  </si>
  <si>
    <t>Whole Number</t>
  </si>
  <si>
    <t>Temp</t>
  </si>
  <si>
    <t>Decimals</t>
  </si>
  <si>
    <t>15/05/2026</t>
  </si>
  <si>
    <t>15/05/2027</t>
  </si>
  <si>
    <t>Drop Down LIST</t>
  </si>
  <si>
    <t>Numbers</t>
  </si>
  <si>
    <t>DATE</t>
  </si>
  <si>
    <t>Date Filter</t>
  </si>
  <si>
    <t>Fixed Length</t>
  </si>
  <si>
    <t>PENDING</t>
  </si>
  <si>
    <t>CONFIRMED</t>
  </si>
  <si>
    <t>HOLD</t>
  </si>
  <si>
    <t>HLD</t>
  </si>
  <si>
    <t>DATA</t>
  </si>
  <si>
    <t>DATA VALIDATION</t>
  </si>
  <si>
    <t>Text to column</t>
  </si>
  <si>
    <t>Some college no degree</t>
  </si>
  <si>
    <t>Graduate degree</t>
  </si>
  <si>
    <t>Email ID</t>
  </si>
  <si>
    <t>amit.sharma@email.com</t>
  </si>
  <si>
    <t>priya.nair@email.com</t>
  </si>
  <si>
    <t>rahul.verma@email.com</t>
  </si>
  <si>
    <t>sneha.patil@email.com</t>
  </si>
  <si>
    <t>david.miller@email.com</t>
  </si>
  <si>
    <t>04 01 2024</t>
  </si>
  <si>
    <t>03 01 2024</t>
  </si>
  <si>
    <t>02 01 2024</t>
  </si>
  <si>
    <t>01 01 2024</t>
  </si>
  <si>
    <t>Space</t>
  </si>
  <si>
    <t>04|01|2024</t>
  </si>
  <si>
    <t>03|01|2024</t>
  </si>
  <si>
    <t>02|01|2024</t>
  </si>
  <si>
    <t>01|01|2024</t>
  </si>
  <si>
    <t>Pipe ( | )</t>
  </si>
  <si>
    <t>Hyphen (-)</t>
  </si>
  <si>
    <t>Comma (,)</t>
  </si>
  <si>
    <t>Sunday</t>
  </si>
  <si>
    <t>Maya</t>
  </si>
  <si>
    <t>Wednesday</t>
  </si>
  <si>
    <t>Ryan</t>
  </si>
  <si>
    <t>Friday</t>
  </si>
  <si>
    <t>Zara</t>
  </si>
  <si>
    <t>Saturday</t>
  </si>
  <si>
    <t>Noah</t>
  </si>
  <si>
    <t>405|Noel|Saturday</t>
  </si>
  <si>
    <t>305|Owen|Tuesday</t>
  </si>
  <si>
    <t>205|Leo|Thursday</t>
  </si>
  <si>
    <t>105|Liam|Friday</t>
  </si>
  <si>
    <t>404-Ella-Friday</t>
  </si>
  <si>
    <t>304-Kate-Monday</t>
  </si>
  <si>
    <t>204-Anna-Wednesday</t>
  </si>
  <si>
    <t>104-Emma-Thursday</t>
  </si>
  <si>
    <t>403-Sam-Thursday</t>
  </si>
  <si>
    <t>303-Paul-Sunday</t>
  </si>
  <si>
    <t>203-Tom-Tuesday</t>
  </si>
  <si>
    <t>103-Bob-Wednesday</t>
  </si>
  <si>
    <t>401,David,Tuesday</t>
  </si>
  <si>
    <t>301,Chris,Friday</t>
  </si>
  <si>
    <t>201,Mike,Sunday</t>
  </si>
  <si>
    <t>101,John,Monday</t>
  </si>
  <si>
    <t>ID,Name,Day</t>
  </si>
  <si>
    <t xml:space="preserve">Duplicates </t>
  </si>
  <si>
    <t>ROW Lavel</t>
  </si>
  <si>
    <t>Cell lavel</t>
  </si>
  <si>
    <t>Booking DATE</t>
  </si>
  <si>
    <t>Data</t>
  </si>
  <si>
    <t>Sort</t>
  </si>
  <si>
    <t>COMBINE</t>
  </si>
  <si>
    <t>Number</t>
  </si>
  <si>
    <t>Drop down LIST</t>
  </si>
  <si>
    <t xml:space="preserve">Date </t>
  </si>
  <si>
    <t>fixed Char</t>
  </si>
  <si>
    <t>Home Appliance</t>
  </si>
  <si>
    <t>Comment</t>
  </si>
  <si>
    <t>ctrl down arrow</t>
  </si>
  <si>
    <t>ctrl right arrow</t>
  </si>
  <si>
    <t>Selection reach to the last occuplied cell down</t>
  </si>
  <si>
    <t>Selection reach to the last occuplied cell right</t>
  </si>
  <si>
    <t>ctrl shift right arrow</t>
  </si>
  <si>
    <t>will select the row until last occuplied cell (right)</t>
  </si>
  <si>
    <t>will select the column until last occuplied cell (down)</t>
  </si>
  <si>
    <t>Fliter window will open</t>
  </si>
  <si>
    <t>alt down arrow</t>
  </si>
  <si>
    <t>27/06/2026</t>
  </si>
  <si>
    <t>28.06.2026</t>
  </si>
  <si>
    <t>29,06,2026</t>
  </si>
  <si>
    <t>30|06|2026</t>
  </si>
  <si>
    <t>Prod-1</t>
  </si>
  <si>
    <t>Prod-2</t>
  </si>
  <si>
    <t>Prod-3</t>
  </si>
  <si>
    <t>Prod-1-Prod-2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</si>
</sst>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3.5"/>
      <color theme="1"/>
      <name val="Candara"/>
      <family val="2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Candara"/>
      <family val="2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ndara"/>
      <family val="2"/>
    </font>
    <font>
      <sz val="11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4">
    <xf numFmtId="0" fontId="0" fillId="0" borderId="0" xfId="0"/>
    <xf numFmtId="15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10" fillId="0" borderId="0" xfId="0" applyFont="1"/>
    <xf numFmtId="0" fontId="10" fillId="0" borderId="1" xfId="0" applyFont="1" applyFill="1" applyBorder="1" applyAlignment="1">
      <alignment horizontal="right" vertical="center" indent="1" readingOrder="1"/>
    </xf>
    <xf numFmtId="3" fontId="10" fillId="0" borderId="1" xfId="0" applyNumberFormat="1" applyFont="1" applyFill="1" applyBorder="1" applyAlignment="1">
      <alignment horizontal="right" vertical="center" indent="1" readingOrder="1"/>
    </xf>
    <xf numFmtId="0" fontId="9" fillId="0" borderId="2" xfId="0" applyFont="1" applyBorder="1" applyAlignment="1">
      <alignment horizontal="right" vertical="center" indent="1" readingOrder="1"/>
    </xf>
    <xf numFmtId="0" fontId="0" fillId="0" borderId="2" xfId="0" applyBorder="1"/>
    <xf numFmtId="0" fontId="10" fillId="0" borderId="2" xfId="3" applyFont="1" applyFill="1" applyBorder="1" applyAlignment="1">
      <alignment horizontal="right" vertical="center" indent="1" readingOrder="1"/>
    </xf>
    <xf numFmtId="0" fontId="10" fillId="0" borderId="2" xfId="2" applyFont="1" applyFill="1" applyBorder="1" applyAlignment="1">
      <alignment horizontal="right" vertical="center" indent="1" readingOrder="1"/>
    </xf>
    <xf numFmtId="0" fontId="10" fillId="0" borderId="2" xfId="1" applyFont="1" applyFill="1" applyBorder="1" applyAlignment="1">
      <alignment horizontal="right" vertical="center" indent="1" readingOrder="1"/>
    </xf>
    <xf numFmtId="0" fontId="10" fillId="0" borderId="2" xfId="0" applyFont="1" applyFill="1" applyBorder="1" applyAlignment="1">
      <alignment horizontal="right" vertical="center" indent="1" readingOrder="1"/>
    </xf>
    <xf numFmtId="0" fontId="11" fillId="0" borderId="1" xfId="0" applyFont="1" applyFill="1" applyBorder="1" applyAlignment="1">
      <alignment horizontal="right" vertical="center" indent="1" readingOrder="1"/>
    </xf>
    <xf numFmtId="0" fontId="0" fillId="0" borderId="1" xfId="3" applyFont="1" applyFill="1" applyBorder="1" applyAlignment="1">
      <alignment horizontal="right" vertical="center" indent="1" readingOrder="1"/>
    </xf>
    <xf numFmtId="3" fontId="0" fillId="0" borderId="1" xfId="3" applyNumberFormat="1" applyFont="1" applyFill="1" applyBorder="1" applyAlignment="1">
      <alignment horizontal="right" vertical="center" indent="1" readingOrder="1"/>
    </xf>
    <xf numFmtId="0" fontId="0" fillId="0" borderId="1" xfId="2" applyFont="1" applyFill="1" applyBorder="1" applyAlignment="1">
      <alignment horizontal="right" vertical="center" indent="1" readingOrder="1"/>
    </xf>
    <xf numFmtId="3" fontId="0" fillId="0" borderId="1" xfId="2" applyNumberFormat="1" applyFont="1" applyFill="1" applyBorder="1" applyAlignment="1">
      <alignment horizontal="right" vertical="center" indent="1" readingOrder="1"/>
    </xf>
    <xf numFmtId="0" fontId="0" fillId="0" borderId="1" xfId="1" applyFont="1" applyFill="1" applyBorder="1" applyAlignment="1">
      <alignment horizontal="right" vertical="center" indent="1" readingOrder="1"/>
    </xf>
    <xf numFmtId="3" fontId="0" fillId="0" borderId="1" xfId="1" applyNumberFormat="1" applyFont="1" applyFill="1" applyBorder="1" applyAlignment="1">
      <alignment horizontal="right" vertical="center" indent="1" readingOrder="1"/>
    </xf>
    <xf numFmtId="0" fontId="11" fillId="0" borderId="3" xfId="0" applyFont="1" applyFill="1" applyBorder="1" applyAlignment="1">
      <alignment horizontal="right" vertical="center" indent="1" readingOrder="1"/>
    </xf>
    <xf numFmtId="15" fontId="11" fillId="0" borderId="1" xfId="0" applyNumberFormat="1" applyFont="1" applyFill="1" applyBorder="1" applyAlignment="1">
      <alignment horizontal="right" vertical="center" indent="1" readingOrder="1"/>
    </xf>
    <xf numFmtId="15" fontId="0" fillId="0" borderId="1" xfId="3" applyNumberFormat="1" applyFont="1" applyFill="1" applyBorder="1" applyAlignment="1">
      <alignment horizontal="right" vertical="center" indent="1" readingOrder="1"/>
    </xf>
    <xf numFmtId="15" fontId="0" fillId="0" borderId="1" xfId="2" applyNumberFormat="1" applyFont="1" applyFill="1" applyBorder="1" applyAlignment="1">
      <alignment horizontal="right" vertical="center" indent="1" readingOrder="1"/>
    </xf>
    <xf numFmtId="15" fontId="0" fillId="0" borderId="1" xfId="1" applyNumberFormat="1" applyFont="1" applyFill="1" applyBorder="1" applyAlignment="1">
      <alignment horizontal="right" vertical="center" indent="1" readingOrder="1"/>
    </xf>
    <xf numFmtId="15" fontId="10" fillId="0" borderId="1" xfId="0" applyNumberFormat="1" applyFont="1" applyFill="1" applyBorder="1" applyAlignment="1">
      <alignment horizontal="right" vertical="center" indent="1" readingOrder="1"/>
    </xf>
    <xf numFmtId="15" fontId="0" fillId="0" borderId="0" xfId="0" quotePrefix="1" applyNumberFormat="1"/>
    <xf numFmtId="0" fontId="0" fillId="0" borderId="0" xfId="0" quotePrefix="1"/>
    <xf numFmtId="0" fontId="11" fillId="0" borderId="0" xfId="0" applyFont="1" applyFill="1" applyBorder="1" applyAlignment="1">
      <alignment horizontal="right" vertical="center" indent="1" readingOrder="1"/>
    </xf>
    <xf numFmtId="0" fontId="11" fillId="0" borderId="1" xfId="0" applyFont="1" applyFill="1" applyBorder="1" applyAlignment="1">
      <alignment horizontal="left" vertical="center" indent="1" readingOrder="1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/>
    <xf numFmtId="0" fontId="0" fillId="0" borderId="0" xfId="0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Fill="1" applyBorder="1"/>
    <xf numFmtId="15" fontId="3" fillId="0" borderId="0" xfId="3" applyNumberFormat="1" applyFill="1" applyBorder="1" applyAlignment="1">
      <alignment horizontal="right" vertical="center" indent="1" readingOrder="1"/>
    </xf>
    <xf numFmtId="0" fontId="15" fillId="5" borderId="1" xfId="0" applyFont="1" applyFill="1" applyBorder="1" applyAlignment="1">
      <alignment horizontal="right" vertical="center" indent="1" readingOrder="1"/>
    </xf>
    <xf numFmtId="15" fontId="14" fillId="5" borderId="1" xfId="3" applyNumberFormat="1" applyFont="1" applyFill="1" applyBorder="1" applyAlignment="1">
      <alignment horizontal="right" vertical="center" indent="1" readingOrder="1"/>
    </xf>
    <xf numFmtId="0" fontId="11" fillId="0" borderId="0" xfId="0" applyFont="1" applyFill="1" applyBorder="1"/>
    <xf numFmtId="0" fontId="13" fillId="0" borderId="1" xfId="3" applyFont="1" applyFill="1" applyBorder="1" applyAlignment="1">
      <alignment horizontal="right" vertical="center" indent="1" readingOrder="1"/>
    </xf>
    <xf numFmtId="15" fontId="13" fillId="0" borderId="1" xfId="3" applyNumberFormat="1" applyFont="1" applyFill="1" applyBorder="1" applyAlignment="1">
      <alignment horizontal="right" vertical="center" indent="1" readingOrder="1"/>
    </xf>
    <xf numFmtId="3" fontId="13" fillId="0" borderId="1" xfId="3" applyNumberFormat="1" applyFont="1" applyFill="1" applyBorder="1" applyAlignment="1">
      <alignment horizontal="right" vertical="center" indent="1" readingOrder="1"/>
    </xf>
    <xf numFmtId="0" fontId="13" fillId="0" borderId="1" xfId="1" applyFont="1" applyFill="1" applyBorder="1" applyAlignment="1">
      <alignment horizontal="right" vertical="center" indent="1" readingOrder="1"/>
    </xf>
    <xf numFmtId="3" fontId="13" fillId="0" borderId="1" xfId="1" applyNumberFormat="1" applyFont="1" applyFill="1" applyBorder="1" applyAlignment="1">
      <alignment horizontal="right" vertical="center" indent="1" readingOrder="1"/>
    </xf>
    <xf numFmtId="0" fontId="13" fillId="0" borderId="1" xfId="2" applyFont="1" applyFill="1" applyBorder="1" applyAlignment="1">
      <alignment horizontal="right" vertical="center" indent="1" readingOrder="1"/>
    </xf>
    <xf numFmtId="3" fontId="13" fillId="0" borderId="1" xfId="2" applyNumberFormat="1" applyFont="1" applyFill="1" applyBorder="1" applyAlignment="1">
      <alignment horizontal="right" vertical="center" indent="1" readingOrder="1"/>
    </xf>
    <xf numFmtId="0" fontId="16" fillId="0" borderId="1" xfId="0" applyFont="1" applyFill="1" applyBorder="1" applyAlignment="1">
      <alignment horizontal="right" vertical="center" indent="1" readingOrder="1"/>
    </xf>
    <xf numFmtId="3" fontId="16" fillId="0" borderId="1" xfId="0" applyNumberFormat="1" applyFont="1" applyFill="1" applyBorder="1" applyAlignment="1">
      <alignment horizontal="right" vertical="center" indent="1" readingOrder="1"/>
    </xf>
    <xf numFmtId="0" fontId="13" fillId="0" borderId="4" xfId="2" applyFont="1" applyFill="1" applyBorder="1" applyAlignment="1">
      <alignment horizontal="right" vertical="center" indent="1" readingOrder="1"/>
    </xf>
    <xf numFmtId="15" fontId="13" fillId="0" borderId="4" xfId="3" applyNumberFormat="1" applyFont="1" applyFill="1" applyBorder="1" applyAlignment="1">
      <alignment horizontal="right" vertical="center" indent="1" readingOrder="1"/>
    </xf>
    <xf numFmtId="3" fontId="13" fillId="0" borderId="4" xfId="2" applyNumberFormat="1" applyFont="1" applyFill="1" applyBorder="1" applyAlignment="1">
      <alignment horizontal="right" vertical="center" indent="1" readingOrder="1"/>
    </xf>
    <xf numFmtId="0" fontId="0" fillId="0" borderId="0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ndar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4.4" x14ac:dyDescent="0.3"/>
  <cols>
    <col min="1" max="1" width="49" bestFit="1" customWidth="1"/>
  </cols>
  <sheetData>
    <row r="1" spans="1:1" ht="18" x14ac:dyDescent="0.3">
      <c r="A1" s="2" t="s">
        <v>75</v>
      </c>
    </row>
    <row r="2" spans="1:1" ht="15.6" x14ac:dyDescent="0.3">
      <c r="A2" s="3" t="s">
        <v>76</v>
      </c>
    </row>
    <row r="3" spans="1:1" ht="15.6" x14ac:dyDescent="0.3">
      <c r="A3" s="3" t="s">
        <v>78</v>
      </c>
    </row>
    <row r="4" spans="1:1" ht="15.6" x14ac:dyDescent="0.3">
      <c r="A4" s="3" t="s">
        <v>77</v>
      </c>
    </row>
    <row r="5" spans="1:1" ht="15.6" x14ac:dyDescent="0.3">
      <c r="A5" s="3" t="s">
        <v>79</v>
      </c>
    </row>
    <row r="6" spans="1:1" ht="15.6" x14ac:dyDescent="0.3">
      <c r="A6" s="3" t="s">
        <v>80</v>
      </c>
    </row>
    <row r="7" spans="1:1" ht="15.6" x14ac:dyDescent="0.3">
      <c r="A7" s="4" t="s">
        <v>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B17" sqref="B17"/>
    </sheetView>
  </sheetViews>
  <sheetFormatPr defaultRowHeight="14.4" x14ac:dyDescent="0.3"/>
  <cols>
    <col min="1" max="1" width="17.33203125" style="43" bestFit="1" customWidth="1"/>
    <col min="2" max="2" width="15.44140625" style="43" bestFit="1" customWidth="1"/>
    <col min="3" max="3" width="15.44140625" style="44" customWidth="1"/>
    <col min="4" max="4" width="11.6640625" style="43" bestFit="1" customWidth="1"/>
    <col min="5" max="5" width="11.44140625" style="43" bestFit="1" customWidth="1"/>
    <col min="6" max="6" width="5.6640625" style="43" bestFit="1" customWidth="1"/>
    <col min="7" max="7" width="10.77734375" style="43" bestFit="1" customWidth="1"/>
    <col min="8" max="8" width="12.109375" style="43" bestFit="1" customWidth="1"/>
    <col min="9" max="9" width="16.21875" style="43" bestFit="1" customWidth="1"/>
    <col min="10" max="10" width="11.21875" style="43" bestFit="1" customWidth="1"/>
    <col min="11" max="11" width="34.33203125" style="43" bestFit="1" customWidth="1"/>
    <col min="12" max="12" width="35.6640625" style="43" bestFit="1" customWidth="1"/>
    <col min="13" max="13" width="4.6640625" style="43" bestFit="1" customWidth="1"/>
    <col min="14" max="16384" width="8.88671875" style="43"/>
  </cols>
  <sheetData>
    <row r="1" spans="1:8" x14ac:dyDescent="0.3">
      <c r="A1" s="47" t="s">
        <v>190</v>
      </c>
      <c r="B1" s="47" t="s">
        <v>191</v>
      </c>
    </row>
    <row r="3" spans="1:8" ht="15" thickBot="1" x14ac:dyDescent="0.35"/>
    <row r="4" spans="1:8" s="7" customFormat="1" ht="15" thickBot="1" x14ac:dyDescent="0.35">
      <c r="A4" s="45" t="s">
        <v>105</v>
      </c>
      <c r="B4" s="45" t="s">
        <v>106</v>
      </c>
      <c r="C4" s="46" t="s">
        <v>189</v>
      </c>
      <c r="D4" s="45" t="s">
        <v>82</v>
      </c>
      <c r="E4" s="45" t="s">
        <v>83</v>
      </c>
      <c r="F4" s="45" t="s">
        <v>84</v>
      </c>
      <c r="G4" s="45" t="s">
        <v>107</v>
      </c>
      <c r="H4" s="45" t="s">
        <v>108</v>
      </c>
    </row>
    <row r="5" spans="1:8" s="7" customFormat="1" ht="15" thickBot="1" x14ac:dyDescent="0.35">
      <c r="A5" s="51" t="s">
        <v>111</v>
      </c>
      <c r="B5" s="51" t="s">
        <v>112</v>
      </c>
      <c r="C5" s="49">
        <v>45788</v>
      </c>
      <c r="D5" s="51" t="s">
        <v>99</v>
      </c>
      <c r="E5" s="51" t="s">
        <v>100</v>
      </c>
      <c r="F5" s="51">
        <v>31</v>
      </c>
      <c r="G5" s="52">
        <v>900000</v>
      </c>
      <c r="H5" s="51">
        <v>110</v>
      </c>
    </row>
    <row r="6" spans="1:8" s="7" customFormat="1" ht="15" thickBot="1" x14ac:dyDescent="0.35">
      <c r="A6" s="51" t="s">
        <v>111</v>
      </c>
      <c r="B6" s="51" t="s">
        <v>112</v>
      </c>
      <c r="C6" s="49">
        <v>45787</v>
      </c>
      <c r="D6" s="51" t="s">
        <v>87</v>
      </c>
      <c r="E6" s="51" t="s">
        <v>88</v>
      </c>
      <c r="F6" s="51">
        <v>32</v>
      </c>
      <c r="G6" s="52">
        <v>850000</v>
      </c>
      <c r="H6" s="51">
        <v>120</v>
      </c>
    </row>
    <row r="7" spans="1:8" s="7" customFormat="1" ht="15" thickBot="1" x14ac:dyDescent="0.35">
      <c r="A7" s="55" t="s">
        <v>109</v>
      </c>
      <c r="B7" s="55" t="s">
        <v>110</v>
      </c>
      <c r="C7" s="49">
        <v>45796</v>
      </c>
      <c r="D7" s="55" t="s">
        <v>93</v>
      </c>
      <c r="E7" s="55" t="s">
        <v>94</v>
      </c>
      <c r="F7" s="55">
        <v>27</v>
      </c>
      <c r="G7" s="56">
        <v>720000</v>
      </c>
      <c r="H7" s="55">
        <v>45</v>
      </c>
    </row>
    <row r="8" spans="1:8" s="7" customFormat="1" ht="15" thickBot="1" x14ac:dyDescent="0.35">
      <c r="A8" s="55" t="s">
        <v>109</v>
      </c>
      <c r="B8" s="55" t="s">
        <v>110</v>
      </c>
      <c r="C8" s="49">
        <v>45794</v>
      </c>
      <c r="D8" s="55" t="s">
        <v>85</v>
      </c>
      <c r="E8" s="55" t="s">
        <v>86</v>
      </c>
      <c r="F8" s="55">
        <v>28</v>
      </c>
      <c r="G8" s="56">
        <v>650000</v>
      </c>
      <c r="H8" s="55">
        <v>50</v>
      </c>
    </row>
    <row r="9" spans="1:8" s="7" customFormat="1" ht="15" thickBot="1" x14ac:dyDescent="0.35">
      <c r="A9" s="55" t="s">
        <v>109</v>
      </c>
      <c r="B9" s="55" t="s">
        <v>110</v>
      </c>
      <c r="C9" s="49">
        <v>45793</v>
      </c>
      <c r="D9" s="55" t="s">
        <v>85</v>
      </c>
      <c r="E9" s="55" t="s">
        <v>121</v>
      </c>
      <c r="F9" s="55">
        <v>28</v>
      </c>
      <c r="G9" s="56">
        <v>600000</v>
      </c>
      <c r="H9" s="55">
        <v>50</v>
      </c>
    </row>
    <row r="10" spans="1:8" s="7" customFormat="1" ht="15" thickBot="1" x14ac:dyDescent="0.35">
      <c r="A10" s="48" t="s">
        <v>111</v>
      </c>
      <c r="B10" s="48" t="s">
        <v>114</v>
      </c>
      <c r="C10" s="49">
        <v>45784</v>
      </c>
      <c r="D10" s="48" t="s">
        <v>101</v>
      </c>
      <c r="E10" s="48" t="s">
        <v>102</v>
      </c>
      <c r="F10" s="48">
        <v>42</v>
      </c>
      <c r="G10" s="50">
        <v>1650000</v>
      </c>
      <c r="H10" s="48">
        <v>75</v>
      </c>
    </row>
    <row r="11" spans="1:8" s="7" customFormat="1" ht="15" thickBot="1" x14ac:dyDescent="0.35">
      <c r="A11" s="48" t="s">
        <v>111</v>
      </c>
      <c r="B11" s="48" t="s">
        <v>114</v>
      </c>
      <c r="C11" s="49">
        <v>45783</v>
      </c>
      <c r="D11" s="48" t="s">
        <v>91</v>
      </c>
      <c r="E11" s="48" t="s">
        <v>92</v>
      </c>
      <c r="F11" s="48">
        <v>41</v>
      </c>
      <c r="G11" s="50">
        <v>1500000</v>
      </c>
      <c r="H11" s="48">
        <v>85</v>
      </c>
    </row>
    <row r="12" spans="1:8" s="7" customFormat="1" ht="15" thickBot="1" x14ac:dyDescent="0.35">
      <c r="A12" s="53" t="s">
        <v>109</v>
      </c>
      <c r="B12" s="53" t="s">
        <v>113</v>
      </c>
      <c r="C12" s="49">
        <v>45790</v>
      </c>
      <c r="D12" s="53" t="s">
        <v>89</v>
      </c>
      <c r="E12" s="53" t="s">
        <v>90</v>
      </c>
      <c r="F12" s="53">
        <v>35</v>
      </c>
      <c r="G12" s="54">
        <v>1200000</v>
      </c>
      <c r="H12" s="53">
        <v>30</v>
      </c>
    </row>
    <row r="13" spans="1:8" s="7" customFormat="1" ht="15" thickBot="1" x14ac:dyDescent="0.35">
      <c r="A13" s="55" t="s">
        <v>109</v>
      </c>
      <c r="B13" s="55" t="s">
        <v>113</v>
      </c>
      <c r="C13" s="49">
        <v>45795</v>
      </c>
      <c r="D13" s="55" t="s">
        <v>103</v>
      </c>
      <c r="E13" s="55" t="s">
        <v>104</v>
      </c>
      <c r="F13" s="55">
        <v>27</v>
      </c>
      <c r="G13" s="56">
        <v>650000</v>
      </c>
      <c r="H13" s="55">
        <v>35</v>
      </c>
    </row>
    <row r="14" spans="1:8" s="7" customFormat="1" ht="15" thickBot="1" x14ac:dyDescent="0.35">
      <c r="A14" s="51" t="s">
        <v>109</v>
      </c>
      <c r="B14" s="51" t="s">
        <v>116</v>
      </c>
      <c r="C14" s="49">
        <v>45792</v>
      </c>
      <c r="D14" s="51" t="s">
        <v>117</v>
      </c>
      <c r="E14" s="51" t="s">
        <v>118</v>
      </c>
      <c r="F14" s="51">
        <v>33</v>
      </c>
      <c r="G14" s="52">
        <v>950000</v>
      </c>
      <c r="H14" s="51">
        <v>55</v>
      </c>
    </row>
    <row r="15" spans="1:8" s="7" customFormat="1" ht="15" thickBot="1" x14ac:dyDescent="0.35">
      <c r="A15" s="51" t="s">
        <v>109</v>
      </c>
      <c r="B15" s="51" t="s">
        <v>116</v>
      </c>
      <c r="C15" s="49">
        <v>45791</v>
      </c>
      <c r="D15" s="51" t="s">
        <v>117</v>
      </c>
      <c r="E15" s="51" t="s">
        <v>122</v>
      </c>
      <c r="F15" s="51">
        <v>33</v>
      </c>
      <c r="G15" s="52">
        <v>950000</v>
      </c>
      <c r="H15" s="51">
        <v>55</v>
      </c>
    </row>
    <row r="16" spans="1:8" s="7" customFormat="1" ht="15" thickBot="1" x14ac:dyDescent="0.35">
      <c r="A16" s="53" t="s">
        <v>109</v>
      </c>
      <c r="B16" s="53" t="s">
        <v>116</v>
      </c>
      <c r="C16" s="49">
        <v>45789</v>
      </c>
      <c r="D16" s="53" t="s">
        <v>97</v>
      </c>
      <c r="E16" s="53" t="s">
        <v>98</v>
      </c>
      <c r="F16" s="53">
        <v>38</v>
      </c>
      <c r="G16" s="54">
        <v>1150000</v>
      </c>
      <c r="H16" s="53">
        <v>60</v>
      </c>
    </row>
    <row r="17" spans="1:8" s="7" customFormat="1" ht="15" thickBot="1" x14ac:dyDescent="0.35">
      <c r="A17" s="48" t="s">
        <v>111</v>
      </c>
      <c r="B17" s="48" t="s">
        <v>115</v>
      </c>
      <c r="C17" s="49">
        <v>45785</v>
      </c>
      <c r="D17" s="48" t="s">
        <v>95</v>
      </c>
      <c r="E17" s="48" t="s">
        <v>96</v>
      </c>
      <c r="F17" s="48">
        <v>45</v>
      </c>
      <c r="G17" s="50">
        <v>1800000</v>
      </c>
      <c r="H17" s="48">
        <v>20</v>
      </c>
    </row>
    <row r="18" spans="1:8" s="7" customFormat="1" ht="15" thickBot="1" x14ac:dyDescent="0.35">
      <c r="A18" s="48" t="s">
        <v>111</v>
      </c>
      <c r="B18" s="48" t="s">
        <v>115</v>
      </c>
      <c r="C18" s="49">
        <v>45782</v>
      </c>
      <c r="D18" s="48" t="s">
        <v>119</v>
      </c>
      <c r="E18" s="48" t="s">
        <v>120</v>
      </c>
      <c r="F18" s="48">
        <v>36</v>
      </c>
      <c r="G18" s="50">
        <v>1300000</v>
      </c>
      <c r="H18" s="48">
        <v>25</v>
      </c>
    </row>
    <row r="19" spans="1:8" s="7" customFormat="1" x14ac:dyDescent="0.3">
      <c r="A19" s="57" t="s">
        <v>111</v>
      </c>
      <c r="B19" s="57" t="s">
        <v>115</v>
      </c>
      <c r="C19" s="58">
        <v>45786</v>
      </c>
      <c r="D19" s="57" t="s">
        <v>117</v>
      </c>
      <c r="E19" s="57" t="s">
        <v>123</v>
      </c>
      <c r="F19" s="57">
        <v>33</v>
      </c>
      <c r="G19" s="59">
        <v>950000</v>
      </c>
      <c r="H19" s="57">
        <v>55</v>
      </c>
    </row>
  </sheetData>
  <autoFilter ref="A4:H19"/>
  <sortState ref="A5:H19">
    <sortCondition sortBy="fontColor" ref="B5:B19" dxfId="4"/>
    <sortCondition sortBy="fontColor" ref="B5:B19" dxfId="3"/>
    <sortCondition sortBy="fontColor" ref="B5:B19" dxfId="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1"/>
  <sheetViews>
    <sheetView workbookViewId="0">
      <selection activeCell="B2" sqref="B2:E21"/>
    </sheetView>
  </sheetViews>
  <sheetFormatPr defaultRowHeight="14.4" x14ac:dyDescent="0.3"/>
  <cols>
    <col min="1" max="2" width="11.6640625" style="7" bestFit="1" customWidth="1"/>
    <col min="3" max="3" width="11.44140625" style="7" bestFit="1" customWidth="1"/>
    <col min="4" max="4" width="35.6640625" style="7" bestFit="1" customWidth="1"/>
    <col min="5" max="5" width="4.6640625" style="7" bestFit="1" customWidth="1"/>
    <col min="6" max="6" width="4.6640625" style="7" customWidth="1"/>
    <col min="7" max="7" width="52.33203125" style="7" bestFit="1" customWidth="1"/>
    <col min="8" max="9" width="8.88671875" style="7"/>
    <col min="10" max="10" width="10.33203125" style="7" bestFit="1" customWidth="1"/>
    <col min="11" max="11" width="10.21875" style="7" bestFit="1" customWidth="1"/>
    <col min="12" max="16384" width="8.88671875" style="7"/>
  </cols>
  <sheetData>
    <row r="2" spans="2:11" x14ac:dyDescent="0.3">
      <c r="B2" s="10" t="s">
        <v>82</v>
      </c>
      <c r="C2" s="10" t="s">
        <v>83</v>
      </c>
      <c r="D2" s="11" t="s">
        <v>11</v>
      </c>
      <c r="E2" s="11" t="s">
        <v>73</v>
      </c>
      <c r="F2" s="60"/>
      <c r="G2" s="7" t="s">
        <v>192</v>
      </c>
    </row>
    <row r="3" spans="2:11" x14ac:dyDescent="0.3">
      <c r="B3" s="12" t="s">
        <v>91</v>
      </c>
      <c r="C3" s="12" t="s">
        <v>92</v>
      </c>
      <c r="D3" s="11" t="s">
        <v>21</v>
      </c>
      <c r="E3" s="11">
        <v>342</v>
      </c>
      <c r="F3" s="60"/>
      <c r="G3" s="7" t="str">
        <f>B3&amp;"-"&amp;C3&amp;"-"&amp;D3&amp;"-"&amp;E3</f>
        <v>Sneha-Patil-Student-342</v>
      </c>
      <c r="J3" s="7" t="s">
        <v>186</v>
      </c>
    </row>
    <row r="4" spans="2:11" x14ac:dyDescent="0.3">
      <c r="B4" s="12" t="s">
        <v>91</v>
      </c>
      <c r="C4" s="12" t="s">
        <v>92</v>
      </c>
      <c r="D4" s="11" t="s">
        <v>21</v>
      </c>
      <c r="E4" s="11">
        <v>342</v>
      </c>
      <c r="F4" s="60"/>
      <c r="G4" s="7" t="str">
        <f t="shared" ref="G4:G21" si="0">B4&amp;"-"&amp;C4&amp;"-"&amp;D4&amp;"-"&amp;E4</f>
        <v>Sneha-Patil-Student-342</v>
      </c>
    </row>
    <row r="5" spans="2:11" x14ac:dyDescent="0.3">
      <c r="B5" s="12" t="s">
        <v>91</v>
      </c>
      <c r="C5" s="12" t="s">
        <v>90</v>
      </c>
      <c r="D5" s="11" t="s">
        <v>21</v>
      </c>
      <c r="E5" s="11">
        <v>342</v>
      </c>
      <c r="F5" s="60"/>
      <c r="G5" s="7" t="str">
        <f t="shared" si="0"/>
        <v>Sneha-Verma-Student-342</v>
      </c>
    </row>
    <row r="6" spans="2:11" x14ac:dyDescent="0.3">
      <c r="B6" s="12" t="s">
        <v>101</v>
      </c>
      <c r="C6" s="12" t="s">
        <v>102</v>
      </c>
      <c r="D6" s="11" t="s">
        <v>21</v>
      </c>
      <c r="E6" s="11">
        <v>158</v>
      </c>
      <c r="F6" s="60"/>
      <c r="G6" s="7" t="str">
        <f t="shared" si="0"/>
        <v>Omar-Khan-Student-158</v>
      </c>
      <c r="K6" s="7" t="s">
        <v>188</v>
      </c>
    </row>
    <row r="7" spans="2:11" x14ac:dyDescent="0.3">
      <c r="B7" s="12" t="s">
        <v>101</v>
      </c>
      <c r="C7" s="12" t="s">
        <v>102</v>
      </c>
      <c r="D7" s="11" t="s">
        <v>33</v>
      </c>
      <c r="E7" s="11">
        <v>320</v>
      </c>
      <c r="F7" s="60"/>
      <c r="G7" s="7" t="str">
        <f t="shared" si="0"/>
        <v>Omar-Khan-Computer &amp; Mathematical-320</v>
      </c>
      <c r="K7" s="7" t="s">
        <v>187</v>
      </c>
    </row>
    <row r="8" spans="2:11" x14ac:dyDescent="0.3">
      <c r="B8" s="12" t="s">
        <v>101</v>
      </c>
      <c r="C8" s="12" t="s">
        <v>102</v>
      </c>
      <c r="D8" s="11" t="s">
        <v>21</v>
      </c>
      <c r="E8" s="11">
        <v>158</v>
      </c>
      <c r="F8" s="60"/>
      <c r="G8" s="7" t="str">
        <f t="shared" si="0"/>
        <v>Omar-Khan-Student-158</v>
      </c>
    </row>
    <row r="9" spans="2:11" x14ac:dyDescent="0.3">
      <c r="B9" s="12" t="s">
        <v>95</v>
      </c>
      <c r="C9" s="12" t="s">
        <v>96</v>
      </c>
      <c r="D9" s="11" t="s">
        <v>36</v>
      </c>
      <c r="E9" s="11">
        <v>167</v>
      </c>
      <c r="F9" s="60"/>
      <c r="G9" s="7" t="str">
        <f t="shared" si="0"/>
        <v>Elena-Rossi-Unemployed-167</v>
      </c>
    </row>
    <row r="10" spans="2:11" x14ac:dyDescent="0.3">
      <c r="B10" s="13" t="s">
        <v>117</v>
      </c>
      <c r="C10" s="13" t="s">
        <v>123</v>
      </c>
      <c r="D10" s="11" t="s">
        <v>39</v>
      </c>
      <c r="E10" s="11">
        <v>126</v>
      </c>
      <c r="F10" s="60"/>
      <c r="G10" s="7" t="str">
        <f t="shared" si="0"/>
        <v>Arjun-prakash-Healthcare Support-126</v>
      </c>
    </row>
    <row r="11" spans="2:11" x14ac:dyDescent="0.3">
      <c r="B11" s="13" t="s">
        <v>97</v>
      </c>
      <c r="C11" s="13" t="s">
        <v>98</v>
      </c>
      <c r="D11" s="11" t="s">
        <v>42</v>
      </c>
      <c r="E11" s="11">
        <v>412</v>
      </c>
      <c r="F11" s="60"/>
      <c r="G11" s="7" t="str">
        <f t="shared" si="0"/>
        <v>James-Wilson-Retired-412</v>
      </c>
    </row>
    <row r="12" spans="2:11" x14ac:dyDescent="0.3">
      <c r="B12" s="13" t="s">
        <v>97</v>
      </c>
      <c r="C12" s="13" t="s">
        <v>98</v>
      </c>
      <c r="D12" s="11" t="s">
        <v>36</v>
      </c>
      <c r="E12" s="11">
        <v>156</v>
      </c>
      <c r="F12" s="60"/>
      <c r="G12" s="7" t="str">
        <f t="shared" si="0"/>
        <v>James-Wilson-Unemployed-156</v>
      </c>
    </row>
    <row r="13" spans="2:11" x14ac:dyDescent="0.3">
      <c r="B13" s="13" t="s">
        <v>89</v>
      </c>
      <c r="C13" s="13" t="s">
        <v>90</v>
      </c>
      <c r="D13" s="11" t="s">
        <v>33</v>
      </c>
      <c r="E13" s="11">
        <v>490</v>
      </c>
      <c r="F13" s="60"/>
      <c r="G13" s="7" t="str">
        <f t="shared" si="0"/>
        <v>Rahul-Verma-Computer &amp; Mathematical-490</v>
      </c>
    </row>
    <row r="14" spans="2:11" x14ac:dyDescent="0.3">
      <c r="B14" s="14" t="s">
        <v>87</v>
      </c>
      <c r="C14" s="14" t="s">
        <v>88</v>
      </c>
      <c r="D14" s="11" t="s">
        <v>47</v>
      </c>
      <c r="E14" s="11">
        <v>271</v>
      </c>
      <c r="F14" s="60"/>
      <c r="G14" s="7" t="str">
        <f t="shared" si="0"/>
        <v>Priya-Nair-Food Preparation &amp; Serving Related-271</v>
      </c>
    </row>
    <row r="15" spans="2:11" x14ac:dyDescent="0.3">
      <c r="B15" s="14" t="s">
        <v>99</v>
      </c>
      <c r="C15" s="14" t="s">
        <v>100</v>
      </c>
      <c r="D15" s="11" t="s">
        <v>33</v>
      </c>
      <c r="E15" s="11">
        <v>464</v>
      </c>
      <c r="F15" s="60"/>
      <c r="G15" s="7" t="str">
        <f t="shared" si="0"/>
        <v>Sarah-Chen-Computer &amp; Mathematical-464</v>
      </c>
    </row>
    <row r="16" spans="2:11" x14ac:dyDescent="0.3">
      <c r="B16" s="14" t="s">
        <v>99</v>
      </c>
      <c r="C16" s="14" t="s">
        <v>100</v>
      </c>
      <c r="D16" s="11" t="s">
        <v>33</v>
      </c>
      <c r="E16" s="11">
        <v>100</v>
      </c>
      <c r="F16" s="60"/>
      <c r="G16" s="7" t="str">
        <f t="shared" si="0"/>
        <v>Sarah-Chen-Computer &amp; Mathematical-100</v>
      </c>
    </row>
    <row r="17" spans="2:7" x14ac:dyDescent="0.3">
      <c r="B17" s="14" t="s">
        <v>117</v>
      </c>
      <c r="C17" s="14" t="s">
        <v>122</v>
      </c>
      <c r="D17" s="11" t="s">
        <v>49</v>
      </c>
      <c r="E17" s="11">
        <v>462</v>
      </c>
      <c r="F17" s="60"/>
      <c r="G17" s="7" t="str">
        <f t="shared" si="0"/>
        <v>Arjun-aroda-Sales &amp; Related-462</v>
      </c>
    </row>
    <row r="18" spans="2:7" x14ac:dyDescent="0.3">
      <c r="B18" s="14" t="s">
        <v>117</v>
      </c>
      <c r="C18" s="14" t="s">
        <v>118</v>
      </c>
      <c r="D18" s="11" t="s">
        <v>50</v>
      </c>
      <c r="E18" s="11">
        <v>105</v>
      </c>
      <c r="F18" s="60"/>
      <c r="G18" s="7" t="str">
        <f t="shared" si="0"/>
        <v>Arjun-Gupta-Architecture &amp; Engineering-105</v>
      </c>
    </row>
    <row r="19" spans="2:7" x14ac:dyDescent="0.3">
      <c r="B19" s="15" t="s">
        <v>85</v>
      </c>
      <c r="C19" s="15" t="s">
        <v>121</v>
      </c>
      <c r="D19" s="11" t="s">
        <v>51</v>
      </c>
      <c r="E19" s="11">
        <v>263</v>
      </c>
      <c r="F19" s="60"/>
      <c r="G19" s="7" t="str">
        <f t="shared" si="0"/>
        <v>Amit-PATIL-Education&amp;Training&amp;Library-263</v>
      </c>
    </row>
    <row r="20" spans="2:7" x14ac:dyDescent="0.3">
      <c r="B20" s="15" t="s">
        <v>85</v>
      </c>
      <c r="C20" s="15" t="s">
        <v>86</v>
      </c>
      <c r="D20" s="11" t="s">
        <v>36</v>
      </c>
      <c r="E20" s="11">
        <v>177</v>
      </c>
      <c r="F20" s="60"/>
      <c r="G20" s="7" t="str">
        <f t="shared" si="0"/>
        <v>Amit-Sharma-Unemployed-177</v>
      </c>
    </row>
    <row r="21" spans="2:7" x14ac:dyDescent="0.3">
      <c r="B21" s="15" t="s">
        <v>103</v>
      </c>
      <c r="C21" s="15" t="s">
        <v>104</v>
      </c>
      <c r="D21" s="11" t="s">
        <v>52</v>
      </c>
      <c r="E21" s="11">
        <v>280</v>
      </c>
      <c r="F21" s="60"/>
      <c r="G21" s="7" t="str">
        <f t="shared" si="0"/>
        <v>Yuki-Tanaka-Arts Design Entertainment Sports &amp; Media-280</v>
      </c>
    </row>
  </sheetData>
  <conditionalFormatting sqref="G2:G2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H7" sqref="H7"/>
    </sheetView>
  </sheetViews>
  <sheetFormatPr defaultRowHeight="14.4" x14ac:dyDescent="0.3"/>
  <cols>
    <col min="1" max="1" width="11.6640625" bestFit="1" customWidth="1"/>
    <col min="2" max="2" width="11.44140625" bestFit="1" customWidth="1"/>
    <col min="3" max="3" width="16.44140625" bestFit="1" customWidth="1"/>
    <col min="4" max="4" width="15.21875" bestFit="1" customWidth="1"/>
    <col min="5" max="5" width="13.44140625" bestFit="1" customWidth="1"/>
    <col min="6" max="6" width="13.44140625" hidden="1" customWidth="1"/>
    <col min="7" max="7" width="15.6640625" bestFit="1" customWidth="1"/>
    <col min="8" max="8" width="11.21875" style="1" bestFit="1" customWidth="1"/>
    <col min="9" max="9" width="10.21875" bestFit="1" customWidth="1"/>
    <col min="10" max="10" width="12.109375" bestFit="1" customWidth="1"/>
    <col min="11" max="11" width="9.21875" bestFit="1" customWidth="1"/>
    <col min="12" max="12" width="6.88671875" bestFit="1" customWidth="1"/>
    <col min="13" max="13" width="8" bestFit="1" customWidth="1"/>
    <col min="14" max="14" width="16.21875" bestFit="1" customWidth="1"/>
    <col min="15" max="15" width="11.21875" bestFit="1" customWidth="1"/>
    <col min="16" max="16" width="37.21875" bestFit="1" customWidth="1"/>
    <col min="17" max="17" width="4.6640625" bestFit="1" customWidth="1"/>
    <col min="18" max="18" width="6.21875" bestFit="1" customWidth="1"/>
  </cols>
  <sheetData>
    <row r="1" spans="1:16" x14ac:dyDescent="0.3">
      <c r="A1" t="s">
        <v>138</v>
      </c>
    </row>
    <row r="2" spans="1:16" x14ac:dyDescent="0.3">
      <c r="A2" t="s">
        <v>139</v>
      </c>
      <c r="N2" t="s">
        <v>193</v>
      </c>
    </row>
    <row r="3" spans="1:16" x14ac:dyDescent="0.3">
      <c r="N3" t="s">
        <v>194</v>
      </c>
    </row>
    <row r="4" spans="1:16" x14ac:dyDescent="0.3">
      <c r="E4" s="62" t="s">
        <v>130</v>
      </c>
      <c r="F4" s="62"/>
      <c r="H4" s="29" t="s">
        <v>127</v>
      </c>
      <c r="I4" s="30" t="s">
        <v>128</v>
      </c>
      <c r="N4" t="s">
        <v>195</v>
      </c>
    </row>
    <row r="5" spans="1:16" ht="15" thickBot="1" x14ac:dyDescent="0.35">
      <c r="E5" t="s">
        <v>124</v>
      </c>
      <c r="F5" t="s">
        <v>126</v>
      </c>
      <c r="G5" t="s">
        <v>129</v>
      </c>
      <c r="H5" s="1" t="s">
        <v>132</v>
      </c>
      <c r="I5" t="s">
        <v>133</v>
      </c>
      <c r="N5" t="s">
        <v>196</v>
      </c>
    </row>
    <row r="6" spans="1:16" ht="15" thickBot="1" x14ac:dyDescent="0.35">
      <c r="A6" s="16" t="s">
        <v>82</v>
      </c>
      <c r="B6" s="16" t="s">
        <v>83</v>
      </c>
      <c r="C6" s="16" t="s">
        <v>105</v>
      </c>
      <c r="D6" s="16" t="s">
        <v>106</v>
      </c>
      <c r="E6" s="16" t="s">
        <v>84</v>
      </c>
      <c r="F6" s="16" t="s">
        <v>125</v>
      </c>
      <c r="G6" s="16" t="s">
        <v>105</v>
      </c>
      <c r="H6" s="24" t="s">
        <v>131</v>
      </c>
      <c r="I6" s="16" t="s">
        <v>198</v>
      </c>
      <c r="J6" s="16" t="s">
        <v>107</v>
      </c>
      <c r="K6" s="16" t="s">
        <v>108</v>
      </c>
      <c r="L6" s="23" t="s">
        <v>124</v>
      </c>
      <c r="O6" s="31" t="s">
        <v>134</v>
      </c>
      <c r="P6" s="31" t="s">
        <v>137</v>
      </c>
    </row>
    <row r="7" spans="1:16" ht="15" thickBot="1" x14ac:dyDescent="0.35">
      <c r="A7" s="17" t="s">
        <v>119</v>
      </c>
      <c r="B7" s="17" t="s">
        <v>120</v>
      </c>
      <c r="C7" s="17" t="s">
        <v>111</v>
      </c>
      <c r="D7" s="17" t="s">
        <v>115</v>
      </c>
      <c r="E7" s="17">
        <v>20</v>
      </c>
      <c r="F7" s="17">
        <v>20</v>
      </c>
      <c r="G7" s="17" t="s">
        <v>197</v>
      </c>
      <c r="H7" s="25">
        <v>46167</v>
      </c>
      <c r="I7" s="18"/>
      <c r="J7" s="18">
        <v>1300000</v>
      </c>
      <c r="K7" s="17">
        <v>25</v>
      </c>
      <c r="O7" t="s">
        <v>135</v>
      </c>
    </row>
    <row r="8" spans="1:16" ht="15" thickBot="1" x14ac:dyDescent="0.35">
      <c r="A8" s="17" t="s">
        <v>91</v>
      </c>
      <c r="B8" s="17" t="s">
        <v>92</v>
      </c>
      <c r="C8" s="17" t="s">
        <v>111</v>
      </c>
      <c r="D8" s="17" t="s">
        <v>114</v>
      </c>
      <c r="E8" s="17">
        <v>54</v>
      </c>
      <c r="F8" s="17"/>
      <c r="G8" s="17" t="s">
        <v>109</v>
      </c>
      <c r="H8" s="25">
        <v>45709</v>
      </c>
      <c r="I8" s="18"/>
      <c r="J8" s="18">
        <v>1500000</v>
      </c>
      <c r="K8" s="17">
        <v>85</v>
      </c>
      <c r="O8" t="s">
        <v>136</v>
      </c>
    </row>
    <row r="9" spans="1:16" ht="15" thickBot="1" x14ac:dyDescent="0.35">
      <c r="A9" s="17" t="s">
        <v>101</v>
      </c>
      <c r="B9" s="17" t="s">
        <v>102</v>
      </c>
      <c r="C9" s="17" t="s">
        <v>111</v>
      </c>
      <c r="D9" s="17" t="s">
        <v>114</v>
      </c>
      <c r="E9" s="17"/>
      <c r="F9" s="17"/>
      <c r="G9" s="17"/>
      <c r="H9" s="25"/>
      <c r="I9" s="18"/>
      <c r="J9" s="18">
        <v>1650000</v>
      </c>
      <c r="K9" s="17">
        <v>75</v>
      </c>
    </row>
    <row r="10" spans="1:16" ht="15" thickBot="1" x14ac:dyDescent="0.35">
      <c r="A10" s="17" t="s">
        <v>95</v>
      </c>
      <c r="B10" s="17" t="s">
        <v>96</v>
      </c>
      <c r="C10" s="17" t="s">
        <v>111</v>
      </c>
      <c r="D10" s="17" t="s">
        <v>115</v>
      </c>
      <c r="E10" s="17"/>
      <c r="F10" s="17"/>
      <c r="G10" s="17"/>
      <c r="H10" s="25"/>
      <c r="I10" s="18"/>
      <c r="J10" s="18">
        <v>1800000</v>
      </c>
      <c r="K10" s="17">
        <v>20</v>
      </c>
    </row>
    <row r="11" spans="1:16" ht="15" thickBot="1" x14ac:dyDescent="0.35">
      <c r="A11" s="19" t="s">
        <v>117</v>
      </c>
      <c r="B11" s="19" t="s">
        <v>123</v>
      </c>
      <c r="C11" s="19" t="s">
        <v>111</v>
      </c>
      <c r="D11" s="19" t="s">
        <v>115</v>
      </c>
      <c r="E11" s="19"/>
      <c r="F11" s="19"/>
      <c r="G11" s="19"/>
      <c r="H11" s="26"/>
      <c r="I11" s="20"/>
      <c r="J11" s="20">
        <v>950000</v>
      </c>
      <c r="K11" s="19">
        <v>55</v>
      </c>
    </row>
    <row r="12" spans="1:16" ht="15" thickBot="1" x14ac:dyDescent="0.35">
      <c r="A12" s="19" t="s">
        <v>97</v>
      </c>
      <c r="B12" s="19" t="s">
        <v>98</v>
      </c>
      <c r="C12" s="19" t="s">
        <v>109</v>
      </c>
      <c r="D12" s="19" t="s">
        <v>116</v>
      </c>
      <c r="E12" s="19"/>
      <c r="F12" s="19"/>
      <c r="G12" s="19"/>
      <c r="H12" s="26"/>
      <c r="I12" s="20"/>
      <c r="J12" s="20">
        <v>1150000</v>
      </c>
      <c r="K12" s="19">
        <v>60</v>
      </c>
    </row>
    <row r="13" spans="1:16" ht="15" thickBot="1" x14ac:dyDescent="0.35">
      <c r="A13" s="19" t="s">
        <v>89</v>
      </c>
      <c r="B13" s="19" t="s">
        <v>90</v>
      </c>
      <c r="C13" s="19" t="s">
        <v>109</v>
      </c>
      <c r="D13" s="19" t="s">
        <v>113</v>
      </c>
      <c r="E13" s="19"/>
      <c r="F13" s="19"/>
      <c r="G13" s="19"/>
      <c r="H13" s="26"/>
      <c r="I13" s="20"/>
      <c r="J13" s="20">
        <v>1200000</v>
      </c>
      <c r="K13" s="19">
        <v>30</v>
      </c>
    </row>
    <row r="14" spans="1:16" ht="15" thickBot="1" x14ac:dyDescent="0.35">
      <c r="A14" s="21" t="s">
        <v>87</v>
      </c>
      <c r="B14" s="21" t="s">
        <v>88</v>
      </c>
      <c r="C14" s="21" t="s">
        <v>111</v>
      </c>
      <c r="D14" s="21" t="s">
        <v>112</v>
      </c>
      <c r="E14" s="21"/>
      <c r="F14" s="21"/>
      <c r="G14" s="21"/>
      <c r="H14" s="27"/>
      <c r="I14" s="22"/>
      <c r="J14" s="22">
        <v>850000</v>
      </c>
      <c r="K14" s="21">
        <v>120</v>
      </c>
    </row>
    <row r="15" spans="1:16" ht="15" thickBot="1" x14ac:dyDescent="0.35">
      <c r="A15" s="21" t="s">
        <v>99</v>
      </c>
      <c r="B15" s="21" t="s">
        <v>100</v>
      </c>
      <c r="C15" s="21" t="s">
        <v>111</v>
      </c>
      <c r="D15" s="21" t="s">
        <v>112</v>
      </c>
      <c r="E15" s="21"/>
      <c r="F15" s="21"/>
      <c r="G15" s="21"/>
      <c r="H15" s="27"/>
      <c r="I15" s="22"/>
      <c r="J15" s="22">
        <v>900000</v>
      </c>
      <c r="K15" s="21">
        <v>110</v>
      </c>
    </row>
    <row r="16" spans="1:16" ht="15" thickBot="1" x14ac:dyDescent="0.35">
      <c r="A16" s="21" t="s">
        <v>117</v>
      </c>
      <c r="B16" s="21" t="s">
        <v>122</v>
      </c>
      <c r="C16" s="21" t="s">
        <v>109</v>
      </c>
      <c r="D16" s="21" t="s">
        <v>116</v>
      </c>
      <c r="E16" s="21"/>
      <c r="F16" s="21"/>
      <c r="G16" s="21"/>
      <c r="H16" s="27"/>
      <c r="I16" s="22"/>
      <c r="J16" s="22">
        <v>950000</v>
      </c>
      <c r="K16" s="21">
        <v>55</v>
      </c>
    </row>
    <row r="17" spans="1:11" ht="15" thickBot="1" x14ac:dyDescent="0.35">
      <c r="A17" s="21" t="s">
        <v>117</v>
      </c>
      <c r="B17" s="21" t="s">
        <v>118</v>
      </c>
      <c r="C17" s="21" t="s">
        <v>109</v>
      </c>
      <c r="D17" s="21" t="s">
        <v>116</v>
      </c>
      <c r="E17" s="21"/>
      <c r="F17" s="21"/>
      <c r="G17" s="21"/>
      <c r="H17" s="27"/>
      <c r="I17" s="22"/>
      <c r="J17" s="22">
        <v>950000</v>
      </c>
      <c r="K17" s="21">
        <v>55</v>
      </c>
    </row>
    <row r="18" spans="1:11" ht="15" thickBot="1" x14ac:dyDescent="0.35">
      <c r="A18" s="8" t="s">
        <v>85</v>
      </c>
      <c r="B18" s="8" t="s">
        <v>121</v>
      </c>
      <c r="C18" s="8" t="s">
        <v>109</v>
      </c>
      <c r="D18" s="8" t="s">
        <v>110</v>
      </c>
      <c r="E18" s="8"/>
      <c r="F18" s="8"/>
      <c r="G18" s="8"/>
      <c r="H18" s="28"/>
      <c r="I18" s="9"/>
      <c r="J18" s="9">
        <v>600000</v>
      </c>
      <c r="K18" s="8">
        <v>50</v>
      </c>
    </row>
    <row r="19" spans="1:11" ht="15" thickBot="1" x14ac:dyDescent="0.35">
      <c r="A19" s="8" t="s">
        <v>85</v>
      </c>
      <c r="B19" s="8" t="s">
        <v>86</v>
      </c>
      <c r="C19" s="8" t="s">
        <v>109</v>
      </c>
      <c r="D19" s="8" t="s">
        <v>110</v>
      </c>
      <c r="E19" s="8"/>
      <c r="F19" s="8"/>
      <c r="G19" s="8"/>
      <c r="H19" s="28"/>
      <c r="I19" s="9"/>
      <c r="J19" s="9">
        <v>650000</v>
      </c>
      <c r="K19" s="8">
        <v>50</v>
      </c>
    </row>
    <row r="20" spans="1:11" ht="15" thickBot="1" x14ac:dyDescent="0.35">
      <c r="A20" s="8" t="s">
        <v>103</v>
      </c>
      <c r="B20" s="8" t="s">
        <v>104</v>
      </c>
      <c r="C20" s="8" t="s">
        <v>109</v>
      </c>
      <c r="D20" s="8" t="s">
        <v>113</v>
      </c>
      <c r="E20" s="8"/>
      <c r="F20" s="8"/>
      <c r="G20" s="8"/>
      <c r="H20" s="28"/>
      <c r="I20" s="9"/>
      <c r="J20" s="9">
        <v>650000</v>
      </c>
      <c r="K20" s="8">
        <v>35</v>
      </c>
    </row>
    <row r="21" spans="1:11" ht="15" thickBot="1" x14ac:dyDescent="0.35">
      <c r="A21" s="8" t="s">
        <v>93</v>
      </c>
      <c r="B21" s="8" t="s">
        <v>94</v>
      </c>
      <c r="C21" s="8" t="s">
        <v>109</v>
      </c>
      <c r="D21" s="8" t="s">
        <v>110</v>
      </c>
      <c r="E21" s="8"/>
      <c r="F21" s="8"/>
      <c r="G21" s="8"/>
      <c r="H21" s="28"/>
      <c r="I21" s="9"/>
      <c r="J21" s="9">
        <v>720000</v>
      </c>
      <c r="K21" s="8">
        <v>45</v>
      </c>
    </row>
  </sheetData>
  <mergeCells count="1">
    <mergeCell ref="E4:F4"/>
  </mergeCells>
  <dataValidations count="5">
    <dataValidation type="decimal" allowBlank="1" showInputMessage="1" showErrorMessage="1" sqref="F7:F21">
      <formula1>17.5</formula1>
      <formula2>45.1</formula2>
    </dataValidation>
    <dataValidation type="textLength" allowBlank="1" showInputMessage="1" showErrorMessage="1" sqref="I7:I21">
      <formula1>3</formula1>
      <formula2>4</formula2>
    </dataValidation>
    <dataValidation type="whole" allowBlank="1" showInputMessage="1" showErrorMessage="1" errorTitle="Message" error="Pls Enter between 19 to 55" promptTitle="Message" prompt="Enter between 19 to 55" sqref="E7:E21">
      <formula1>19</formula1>
      <formula2>55</formula2>
    </dataValidation>
    <dataValidation type="list" allowBlank="1" showInputMessage="1" showErrorMessage="1" sqref="G7:G21">
      <formula1>"Home Appliance, Furniture"</formula1>
    </dataValidation>
    <dataValidation type="date" allowBlank="1" showInputMessage="1" showErrorMessage="1" sqref="H7:H21">
      <formula1>45658</formula1>
      <formula2>46022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workbookViewId="0">
      <selection activeCell="A3" sqref="A3"/>
    </sheetView>
  </sheetViews>
  <sheetFormatPr defaultRowHeight="14.4" x14ac:dyDescent="0.3"/>
  <cols>
    <col min="1" max="1" width="34.33203125" style="33" bestFit="1" customWidth="1"/>
  </cols>
  <sheetData>
    <row r="1" spans="1:1" x14ac:dyDescent="0.3">
      <c r="A1" s="33" t="s">
        <v>138</v>
      </c>
    </row>
    <row r="2" spans="1:1" x14ac:dyDescent="0.3">
      <c r="A2" s="33" t="s">
        <v>140</v>
      </c>
    </row>
    <row r="3" spans="1:1" ht="15" thickBot="1" x14ac:dyDescent="0.35"/>
    <row r="4" spans="1:1" ht="15" thickBot="1" x14ac:dyDescent="0.35">
      <c r="A4" s="32" t="s">
        <v>105</v>
      </c>
    </row>
    <row r="5" spans="1:1" x14ac:dyDescent="0.3">
      <c r="A5" s="33" t="s">
        <v>141</v>
      </c>
    </row>
    <row r="6" spans="1:1" x14ac:dyDescent="0.3">
      <c r="A6" s="33" t="s">
        <v>27</v>
      </c>
    </row>
    <row r="7" spans="1:1" x14ac:dyDescent="0.3">
      <c r="A7" s="33" t="s">
        <v>142</v>
      </c>
    </row>
    <row r="8" spans="1:1" x14ac:dyDescent="0.3">
      <c r="A8" s="33" t="s">
        <v>43</v>
      </c>
    </row>
    <row r="9" spans="1:1" x14ac:dyDescent="0.3">
      <c r="A9" s="33" t="s">
        <v>46</v>
      </c>
    </row>
    <row r="10" spans="1:1" ht="15" thickBot="1" x14ac:dyDescent="0.35"/>
    <row r="11" spans="1:1" ht="15" thickBot="1" x14ac:dyDescent="0.35">
      <c r="A11" s="5" t="s">
        <v>143</v>
      </c>
    </row>
    <row r="12" spans="1:1" ht="15" thickBot="1" x14ac:dyDescent="0.35">
      <c r="A12" s="6" t="s">
        <v>144</v>
      </c>
    </row>
    <row r="13" spans="1:1" ht="15" thickBot="1" x14ac:dyDescent="0.35">
      <c r="A13" s="6" t="s">
        <v>145</v>
      </c>
    </row>
    <row r="14" spans="1:1" ht="15" thickBot="1" x14ac:dyDescent="0.35">
      <c r="A14" s="6" t="s">
        <v>146</v>
      </c>
    </row>
    <row r="15" spans="1:1" ht="15" thickBot="1" x14ac:dyDescent="0.35">
      <c r="A15" s="6" t="s">
        <v>147</v>
      </c>
    </row>
    <row r="16" spans="1:1" ht="15" thickBot="1" x14ac:dyDescent="0.35">
      <c r="A16" s="6" t="s">
        <v>148</v>
      </c>
    </row>
    <row r="19" spans="1:1" x14ac:dyDescent="0.3">
      <c r="A19" s="34">
        <v>46147</v>
      </c>
    </row>
    <row r="20" spans="1:1" x14ac:dyDescent="0.3">
      <c r="A20" s="34">
        <v>46148</v>
      </c>
    </row>
    <row r="21" spans="1:1" x14ac:dyDescent="0.3">
      <c r="A21" s="34">
        <v>46149</v>
      </c>
    </row>
    <row r="22" spans="1:1" x14ac:dyDescent="0.3">
      <c r="A22" s="34">
        <v>46150</v>
      </c>
    </row>
    <row r="26" spans="1:1" x14ac:dyDescent="0.3">
      <c r="A26" s="35">
        <v>46199</v>
      </c>
    </row>
    <row r="27" spans="1:1" x14ac:dyDescent="0.3">
      <c r="A27" s="61" t="s">
        <v>208</v>
      </c>
    </row>
    <row r="28" spans="1:1" x14ac:dyDescent="0.3">
      <c r="A28" s="61" t="s">
        <v>209</v>
      </c>
    </row>
    <row r="29" spans="1:1" x14ac:dyDescent="0.3">
      <c r="A29" s="61" t="s">
        <v>210</v>
      </c>
    </row>
    <row r="30" spans="1:1" x14ac:dyDescent="0.3">
      <c r="A30" s="61" t="s">
        <v>211</v>
      </c>
    </row>
    <row r="31" spans="1:1" x14ac:dyDescent="0.3">
      <c r="A31" s="61"/>
    </row>
    <row r="32" spans="1:1" x14ac:dyDescent="0.3">
      <c r="A32" s="61"/>
    </row>
    <row r="33" spans="1:5" x14ac:dyDescent="0.3">
      <c r="A33" s="35">
        <v>46204</v>
      </c>
    </row>
    <row r="34" spans="1:5" x14ac:dyDescent="0.3">
      <c r="A34" s="35">
        <v>46205</v>
      </c>
    </row>
    <row r="35" spans="1:5" x14ac:dyDescent="0.3">
      <c r="A35" s="35">
        <v>46206</v>
      </c>
    </row>
    <row r="36" spans="1:5" x14ac:dyDescent="0.3">
      <c r="A36" s="35">
        <v>46207</v>
      </c>
    </row>
    <row r="37" spans="1:5" x14ac:dyDescent="0.3">
      <c r="A37" s="35">
        <v>46208</v>
      </c>
    </row>
    <row r="41" spans="1:5" x14ac:dyDescent="0.3">
      <c r="A41" s="42" t="s">
        <v>160</v>
      </c>
      <c r="B41" s="42"/>
      <c r="C41" s="36"/>
      <c r="D41" s="36"/>
      <c r="E41" s="36"/>
    </row>
    <row r="42" spans="1:5" x14ac:dyDescent="0.3">
      <c r="A42" s="36" t="s">
        <v>185</v>
      </c>
      <c r="B42" s="42"/>
      <c r="C42" s="36"/>
      <c r="D42" s="36"/>
      <c r="E42" s="36"/>
    </row>
    <row r="43" spans="1:5" x14ac:dyDescent="0.3">
      <c r="A43" s="41" t="s">
        <v>184</v>
      </c>
      <c r="B43" s="41"/>
      <c r="C43" s="36"/>
      <c r="D43" s="36"/>
      <c r="E43" s="36"/>
    </row>
    <row r="44" spans="1:5" x14ac:dyDescent="0.3">
      <c r="A44" s="41" t="s">
        <v>183</v>
      </c>
      <c r="B44" s="41"/>
      <c r="C44" s="36"/>
      <c r="D44" s="36"/>
      <c r="E44" s="36"/>
    </row>
    <row r="45" spans="1:5" x14ac:dyDescent="0.3">
      <c r="A45" s="41" t="s">
        <v>182</v>
      </c>
      <c r="B45" s="41"/>
      <c r="C45" s="36"/>
      <c r="D45" s="36"/>
      <c r="E45" s="36"/>
    </row>
    <row r="46" spans="1:5" x14ac:dyDescent="0.3">
      <c r="A46" s="41" t="s">
        <v>181</v>
      </c>
      <c r="B46" s="41"/>
      <c r="C46" s="36"/>
      <c r="D46" s="36"/>
      <c r="E46" s="36"/>
    </row>
    <row r="47" spans="1:5" x14ac:dyDescent="0.3">
      <c r="A47" s="41"/>
      <c r="B47" s="41"/>
      <c r="C47" s="41"/>
      <c r="D47" s="36"/>
      <c r="E47" s="36"/>
    </row>
    <row r="48" spans="1:5" x14ac:dyDescent="0.3">
      <c r="A48" s="42" t="s">
        <v>159</v>
      </c>
      <c r="B48" s="36"/>
      <c r="C48" s="36"/>
      <c r="D48" s="36"/>
      <c r="E48" s="36"/>
    </row>
    <row r="49" spans="1:5" x14ac:dyDescent="0.3">
      <c r="A49" s="41" t="s">
        <v>180</v>
      </c>
      <c r="B49" s="36"/>
      <c r="C49" s="36"/>
      <c r="D49" s="36"/>
      <c r="E49" s="36"/>
    </row>
    <row r="50" spans="1:5" x14ac:dyDescent="0.3">
      <c r="A50" s="41" t="s">
        <v>179</v>
      </c>
      <c r="B50" s="36"/>
      <c r="C50" s="36"/>
      <c r="D50" s="36"/>
      <c r="E50" s="36"/>
    </row>
    <row r="51" spans="1:5" x14ac:dyDescent="0.3">
      <c r="A51" s="41" t="s">
        <v>178</v>
      </c>
      <c r="B51" s="36"/>
      <c r="C51" s="36"/>
      <c r="D51" s="36"/>
      <c r="E51" s="36"/>
    </row>
    <row r="52" spans="1:5" x14ac:dyDescent="0.3">
      <c r="A52" s="41" t="s">
        <v>177</v>
      </c>
      <c r="B52" s="36"/>
      <c r="C52" s="36"/>
      <c r="D52" s="36"/>
      <c r="E52" s="36"/>
    </row>
    <row r="53" spans="1:5" x14ac:dyDescent="0.3">
      <c r="A53" s="36"/>
      <c r="B53" s="36"/>
      <c r="C53" s="36"/>
      <c r="D53" s="36"/>
      <c r="E53" s="36"/>
    </row>
    <row r="54" spans="1:5" x14ac:dyDescent="0.3">
      <c r="A54" s="42" t="s">
        <v>159</v>
      </c>
      <c r="B54" s="36"/>
      <c r="C54" s="36"/>
      <c r="D54" s="36"/>
      <c r="E54" s="36"/>
    </row>
    <row r="55" spans="1:5" x14ac:dyDescent="0.3">
      <c r="A55" s="41" t="s">
        <v>176</v>
      </c>
      <c r="B55" s="36"/>
      <c r="C55" s="36"/>
      <c r="D55" s="36"/>
      <c r="E55" s="36"/>
    </row>
    <row r="56" spans="1:5" x14ac:dyDescent="0.3">
      <c r="A56" s="41" t="s">
        <v>175</v>
      </c>
      <c r="B56" s="36"/>
      <c r="C56" s="36"/>
      <c r="D56" s="36"/>
      <c r="E56" s="36"/>
    </row>
    <row r="57" spans="1:5" x14ac:dyDescent="0.3">
      <c r="A57" s="41" t="s">
        <v>174</v>
      </c>
      <c r="B57" s="36"/>
      <c r="C57" s="36"/>
      <c r="D57" s="36"/>
      <c r="E57" s="36"/>
    </row>
    <row r="58" spans="1:5" x14ac:dyDescent="0.3">
      <c r="A58" s="41" t="s">
        <v>173</v>
      </c>
      <c r="B58" s="36"/>
      <c r="C58" s="36"/>
      <c r="D58" s="36"/>
      <c r="E58" s="36"/>
    </row>
    <row r="59" spans="1:5" x14ac:dyDescent="0.3">
      <c r="A59" s="36"/>
      <c r="B59" s="36"/>
      <c r="C59" s="36"/>
      <c r="D59" s="36"/>
      <c r="E59" s="36"/>
    </row>
    <row r="60" spans="1:5" x14ac:dyDescent="0.3">
      <c r="A60" s="42" t="s">
        <v>158</v>
      </c>
      <c r="B60" s="36"/>
      <c r="C60" s="36"/>
      <c r="D60" s="36"/>
      <c r="E60" s="36"/>
    </row>
    <row r="61" spans="1:5" x14ac:dyDescent="0.3">
      <c r="A61" s="41" t="s">
        <v>172</v>
      </c>
      <c r="B61" s="36"/>
      <c r="C61" s="36"/>
      <c r="D61" s="36"/>
      <c r="E61" s="36"/>
    </row>
    <row r="62" spans="1:5" x14ac:dyDescent="0.3">
      <c r="A62" s="41" t="s">
        <v>171</v>
      </c>
      <c r="B62" s="36"/>
      <c r="C62" s="36"/>
      <c r="D62" s="36"/>
      <c r="E62" s="36"/>
    </row>
    <row r="63" spans="1:5" x14ac:dyDescent="0.3">
      <c r="A63" s="41" t="s">
        <v>170</v>
      </c>
      <c r="B63" s="36"/>
      <c r="C63" s="36"/>
      <c r="D63" s="36"/>
      <c r="E63" s="36"/>
    </row>
    <row r="64" spans="1:5" x14ac:dyDescent="0.3">
      <c r="A64" s="41" t="s">
        <v>169</v>
      </c>
      <c r="B64" s="36"/>
      <c r="C64" s="36"/>
      <c r="D64" s="36"/>
      <c r="E64" s="36"/>
    </row>
    <row r="65" spans="1:5" x14ac:dyDescent="0.3">
      <c r="A65" s="36"/>
      <c r="B65" s="36"/>
      <c r="C65" s="36"/>
      <c r="D65" s="36"/>
      <c r="E65" s="36"/>
    </row>
    <row r="66" spans="1:5" x14ac:dyDescent="0.3">
      <c r="A66" s="42" t="s">
        <v>153</v>
      </c>
      <c r="B66" s="36"/>
      <c r="C66" s="36"/>
      <c r="D66" s="36"/>
      <c r="E66" s="36"/>
    </row>
    <row r="67" spans="1:5" x14ac:dyDescent="0.3">
      <c r="A67" s="41">
        <v>106</v>
      </c>
      <c r="B67" s="36" t="s">
        <v>168</v>
      </c>
      <c r="C67" s="36" t="s">
        <v>167</v>
      </c>
      <c r="D67" s="36"/>
      <c r="E67" s="36"/>
    </row>
    <row r="68" spans="1:5" x14ac:dyDescent="0.3">
      <c r="A68" s="41">
        <v>206</v>
      </c>
      <c r="B68" s="36" t="s">
        <v>166</v>
      </c>
      <c r="C68" s="36" t="s">
        <v>165</v>
      </c>
      <c r="D68" s="36"/>
      <c r="E68" s="36"/>
    </row>
    <row r="69" spans="1:5" x14ac:dyDescent="0.3">
      <c r="A69" s="41">
        <v>306</v>
      </c>
      <c r="B69" s="36" t="s">
        <v>164</v>
      </c>
      <c r="C69" s="36" t="s">
        <v>163</v>
      </c>
      <c r="D69" s="36"/>
      <c r="E69" s="36"/>
    </row>
    <row r="70" spans="1:5" x14ac:dyDescent="0.3">
      <c r="A70" s="41">
        <v>406</v>
      </c>
      <c r="B70" s="36" t="s">
        <v>162</v>
      </c>
      <c r="C70" s="36" t="s">
        <v>161</v>
      </c>
      <c r="D70" s="36"/>
      <c r="E70" s="36"/>
    </row>
    <row r="71" spans="1:5" x14ac:dyDescent="0.3">
      <c r="A71" s="36"/>
      <c r="B71" s="36"/>
      <c r="C71" s="36"/>
      <c r="D71" s="36"/>
      <c r="E71" s="36"/>
    </row>
    <row r="72" spans="1:5" x14ac:dyDescent="0.3">
      <c r="A72" s="36"/>
      <c r="B72" s="36"/>
      <c r="C72" s="36"/>
      <c r="D72" s="36"/>
      <c r="E72" s="36"/>
    </row>
    <row r="73" spans="1:5" x14ac:dyDescent="0.3">
      <c r="A73" s="38" t="s">
        <v>160</v>
      </c>
      <c r="B73" s="36"/>
      <c r="C73" s="36"/>
      <c r="D73" s="36"/>
      <c r="E73" s="36"/>
    </row>
    <row r="74" spans="1:5" x14ac:dyDescent="0.3">
      <c r="A74" s="40">
        <v>1012024</v>
      </c>
      <c r="B74" s="36"/>
      <c r="C74" s="36"/>
      <c r="D74" s="36"/>
      <c r="E74" s="36"/>
    </row>
    <row r="75" spans="1:5" x14ac:dyDescent="0.3">
      <c r="A75" s="40">
        <v>2012024</v>
      </c>
      <c r="B75" s="36"/>
      <c r="C75" s="36"/>
      <c r="D75" s="36"/>
      <c r="E75" s="36"/>
    </row>
    <row r="76" spans="1:5" x14ac:dyDescent="0.3">
      <c r="A76" s="40">
        <v>3012024</v>
      </c>
      <c r="B76" s="36"/>
      <c r="C76" s="36"/>
      <c r="D76" s="36"/>
      <c r="E76" s="36"/>
    </row>
    <row r="77" spans="1:5" x14ac:dyDescent="0.3">
      <c r="A77" s="40">
        <v>4012024</v>
      </c>
      <c r="B77" s="36"/>
      <c r="C77" s="36"/>
      <c r="D77" s="36"/>
      <c r="E77" s="36"/>
    </row>
    <row r="78" spans="1:5" x14ac:dyDescent="0.3">
      <c r="A78" s="36"/>
      <c r="B78" s="36"/>
      <c r="C78" s="36"/>
      <c r="D78" s="36"/>
      <c r="E78" s="36"/>
    </row>
    <row r="79" spans="1:5" x14ac:dyDescent="0.3">
      <c r="A79" s="38" t="s">
        <v>159</v>
      </c>
      <c r="B79" s="36"/>
      <c r="C79" s="36"/>
      <c r="D79" s="36"/>
      <c r="E79" s="36"/>
    </row>
    <row r="80" spans="1:5" x14ac:dyDescent="0.3">
      <c r="A80" s="39">
        <v>45292</v>
      </c>
      <c r="B80" s="36"/>
      <c r="C80" s="36"/>
      <c r="D80" s="36"/>
      <c r="E80" s="36"/>
    </row>
    <row r="81" spans="1:5" x14ac:dyDescent="0.3">
      <c r="A81" s="39">
        <v>45293</v>
      </c>
      <c r="B81" s="36"/>
      <c r="C81" s="36"/>
      <c r="D81" s="36"/>
      <c r="E81" s="36"/>
    </row>
    <row r="82" spans="1:5" x14ac:dyDescent="0.3">
      <c r="A82" s="39">
        <v>45294</v>
      </c>
      <c r="B82" s="36"/>
      <c r="C82" s="36"/>
      <c r="D82" s="36"/>
      <c r="E82" s="36"/>
    </row>
    <row r="83" spans="1:5" x14ac:dyDescent="0.3">
      <c r="A83" s="39">
        <v>45295</v>
      </c>
      <c r="B83" s="36"/>
      <c r="C83" s="36"/>
      <c r="D83" s="36"/>
      <c r="E83" s="36"/>
    </row>
    <row r="84" spans="1:5" x14ac:dyDescent="0.3">
      <c r="A84" s="36"/>
      <c r="B84" s="36"/>
      <c r="C84" s="36"/>
      <c r="D84" s="36"/>
      <c r="E84" s="36"/>
    </row>
    <row r="85" spans="1:5" x14ac:dyDescent="0.3">
      <c r="A85" s="38" t="s">
        <v>158</v>
      </c>
      <c r="B85" s="36"/>
      <c r="C85" s="36"/>
      <c r="D85" s="36"/>
      <c r="E85" s="36"/>
    </row>
    <row r="86" spans="1:5" x14ac:dyDescent="0.3">
      <c r="A86" s="37" t="s">
        <v>157</v>
      </c>
      <c r="B86" s="36"/>
      <c r="C86" s="36"/>
      <c r="D86" s="36"/>
      <c r="E86" s="36"/>
    </row>
    <row r="87" spans="1:5" x14ac:dyDescent="0.3">
      <c r="A87" s="37" t="s">
        <v>156</v>
      </c>
      <c r="B87" s="36"/>
      <c r="C87" s="36"/>
      <c r="D87" s="36"/>
      <c r="E87" s="36"/>
    </row>
    <row r="88" spans="1:5" x14ac:dyDescent="0.3">
      <c r="A88" s="37" t="s">
        <v>155</v>
      </c>
      <c r="B88" s="36"/>
      <c r="C88" s="36"/>
      <c r="D88" s="36"/>
      <c r="E88" s="36"/>
    </row>
    <row r="89" spans="1:5" x14ac:dyDescent="0.3">
      <c r="A89" s="37" t="s">
        <v>154</v>
      </c>
      <c r="B89" s="36"/>
      <c r="C89" s="36"/>
      <c r="D89" s="36"/>
      <c r="E89" s="36"/>
    </row>
    <row r="90" spans="1:5" x14ac:dyDescent="0.3">
      <c r="A90" s="36"/>
      <c r="B90" s="36"/>
      <c r="C90" s="36"/>
      <c r="D90" s="36"/>
      <c r="E90" s="36"/>
    </row>
    <row r="91" spans="1:5" x14ac:dyDescent="0.3">
      <c r="A91" s="38" t="s">
        <v>153</v>
      </c>
      <c r="B91" s="36"/>
      <c r="C91" s="36"/>
      <c r="D91" s="36"/>
      <c r="E91" s="36"/>
    </row>
    <row r="92" spans="1:5" x14ac:dyDescent="0.3">
      <c r="A92" s="37" t="s">
        <v>152</v>
      </c>
      <c r="B92" s="36"/>
      <c r="C92" s="36"/>
      <c r="D92" s="36"/>
      <c r="E92" s="36"/>
    </row>
    <row r="93" spans="1:5" x14ac:dyDescent="0.3">
      <c r="A93" s="37" t="s">
        <v>151</v>
      </c>
      <c r="B93" s="36"/>
      <c r="C93" s="36"/>
      <c r="D93" s="36"/>
      <c r="E93" s="36"/>
    </row>
    <row r="94" spans="1:5" x14ac:dyDescent="0.3">
      <c r="A94" s="37" t="s">
        <v>150</v>
      </c>
      <c r="B94" s="36"/>
      <c r="C94" s="36"/>
      <c r="D94" s="36"/>
      <c r="E94" s="36"/>
    </row>
    <row r="95" spans="1:5" x14ac:dyDescent="0.3">
      <c r="A95" s="37" t="s">
        <v>149</v>
      </c>
      <c r="B95" s="36"/>
      <c r="C95" s="36"/>
      <c r="D95" s="36"/>
      <c r="E95" s="36"/>
    </row>
    <row r="96" spans="1:5" x14ac:dyDescent="0.3">
      <c r="A96" s="36"/>
      <c r="B96" s="36"/>
      <c r="C96" s="36"/>
      <c r="D96" s="36"/>
      <c r="E96" s="36"/>
    </row>
    <row r="97" spans="1:5" x14ac:dyDescent="0.3">
      <c r="A97" s="36"/>
      <c r="B97" s="36"/>
      <c r="C97" s="36"/>
      <c r="D97" s="36"/>
      <c r="E97" s="36"/>
    </row>
    <row r="98" spans="1:5" x14ac:dyDescent="0.3">
      <c r="A98" s="36"/>
      <c r="B98" s="36"/>
      <c r="C98" s="36"/>
      <c r="D98" s="36"/>
      <c r="E98" s="36"/>
    </row>
    <row r="99" spans="1:5" x14ac:dyDescent="0.3">
      <c r="A99" s="36"/>
      <c r="B99" s="36"/>
      <c r="C99" s="36"/>
      <c r="D99" s="36"/>
      <c r="E99" s="36"/>
    </row>
    <row r="100" spans="1:5" x14ac:dyDescent="0.3">
      <c r="A100" s="36"/>
      <c r="B100" s="36"/>
      <c r="C100" s="36"/>
      <c r="D100" s="36"/>
      <c r="E100" s="36"/>
    </row>
    <row r="101" spans="1:5" x14ac:dyDescent="0.3">
      <c r="A101" s="36"/>
      <c r="B101" s="36"/>
      <c r="C101" s="36"/>
      <c r="D101" s="36"/>
      <c r="E101" s="36"/>
    </row>
    <row r="102" spans="1:5" x14ac:dyDescent="0.3">
      <c r="A102" s="36"/>
      <c r="B102" s="36"/>
      <c r="C102" s="36"/>
      <c r="D102" s="36"/>
      <c r="E102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56"/>
  <sheetViews>
    <sheetView topLeftCell="D5" workbookViewId="0">
      <selection activeCell="O7" sqref="O7:P33"/>
    </sheetView>
  </sheetViews>
  <sheetFormatPr defaultRowHeight="14.4" x14ac:dyDescent="0.3"/>
  <cols>
    <col min="1" max="1" width="11.6640625" bestFit="1" customWidth="1"/>
    <col min="2" max="2" width="14.33203125" bestFit="1" customWidth="1"/>
    <col min="3" max="3" width="9.109375" bestFit="1" customWidth="1"/>
    <col min="4" max="4" width="7.77734375" bestFit="1" customWidth="1"/>
    <col min="5" max="5" width="11.21875" bestFit="1" customWidth="1"/>
    <col min="6" max="6" width="5.77734375" bestFit="1" customWidth="1"/>
    <col min="7" max="7" width="19.6640625" bestFit="1" customWidth="1"/>
    <col min="8" max="8" width="13.5546875" bestFit="1" customWidth="1"/>
    <col min="9" max="9" width="6.88671875" bestFit="1" customWidth="1"/>
    <col min="10" max="10" width="8" bestFit="1" customWidth="1"/>
    <col min="11" max="11" width="16.21875" bestFit="1" customWidth="1"/>
    <col min="12" max="12" width="11.21875" bestFit="1" customWidth="1"/>
    <col min="13" max="13" width="34.33203125" bestFit="1" customWidth="1"/>
    <col min="14" max="14" width="37.21875" bestFit="1" customWidth="1"/>
    <col min="15" max="15" width="4.6640625" bestFit="1" customWidth="1"/>
    <col min="16" max="16" width="6.21875" bestFit="1" customWidth="1"/>
  </cols>
  <sheetData>
    <row r="2" spans="1:16" x14ac:dyDescent="0.3">
      <c r="A2" s="63" t="s">
        <v>200</v>
      </c>
      <c r="B2" s="63"/>
      <c r="C2" s="63" t="s">
        <v>202</v>
      </c>
      <c r="D2" s="63"/>
      <c r="E2" s="63"/>
      <c r="F2" s="63"/>
      <c r="G2" s="63"/>
    </row>
    <row r="3" spans="1:16" x14ac:dyDescent="0.3">
      <c r="A3" s="63" t="s">
        <v>199</v>
      </c>
      <c r="B3" s="63"/>
      <c r="C3" s="63" t="s">
        <v>201</v>
      </c>
      <c r="D3" s="63"/>
      <c r="E3" s="63"/>
      <c r="F3" s="63"/>
      <c r="G3" s="63"/>
      <c r="H3" t="s">
        <v>207</v>
      </c>
      <c r="I3" s="63" t="s">
        <v>206</v>
      </c>
      <c r="J3" s="63"/>
      <c r="K3" s="63"/>
    </row>
    <row r="4" spans="1:16" x14ac:dyDescent="0.3">
      <c r="A4" s="63" t="s">
        <v>203</v>
      </c>
      <c r="B4" s="63"/>
      <c r="C4" s="63" t="s">
        <v>204</v>
      </c>
      <c r="D4" s="63"/>
      <c r="E4" s="63"/>
      <c r="F4" s="63"/>
      <c r="G4" s="63"/>
    </row>
    <row r="5" spans="1:16" x14ac:dyDescent="0.3">
      <c r="A5" s="63" t="s">
        <v>199</v>
      </c>
      <c r="B5" s="63"/>
      <c r="C5" s="63" t="s">
        <v>205</v>
      </c>
      <c r="D5" s="63"/>
      <c r="E5" s="63"/>
      <c r="F5" s="63"/>
      <c r="G5" s="63"/>
    </row>
    <row r="7" spans="1:16" x14ac:dyDescent="0.3">
      <c r="A7" t="s">
        <v>72</v>
      </c>
      <c r="B7" t="s">
        <v>71</v>
      </c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73</v>
      </c>
      <c r="P7" t="s">
        <v>74</v>
      </c>
    </row>
    <row r="8" spans="1:16" x14ac:dyDescent="0.3">
      <c r="A8" s="1">
        <v>42370</v>
      </c>
      <c r="B8" t="s">
        <v>12</v>
      </c>
      <c r="C8" t="s">
        <v>13</v>
      </c>
      <c r="D8" t="s">
        <v>14</v>
      </c>
      <c r="E8">
        <v>80</v>
      </c>
      <c r="F8" t="s">
        <v>15</v>
      </c>
      <c r="G8" t="s">
        <v>16</v>
      </c>
      <c r="H8" t="s">
        <v>17</v>
      </c>
      <c r="I8" t="s">
        <v>18</v>
      </c>
      <c r="J8">
        <v>21</v>
      </c>
      <c r="K8" t="s">
        <v>19</v>
      </c>
      <c r="L8">
        <v>0</v>
      </c>
      <c r="M8" t="s">
        <v>20</v>
      </c>
      <c r="N8" t="s">
        <v>21</v>
      </c>
      <c r="O8">
        <v>210</v>
      </c>
      <c r="P8">
        <v>85</v>
      </c>
    </row>
    <row r="9" spans="1:16" x14ac:dyDescent="0.3">
      <c r="A9" s="1">
        <v>42385</v>
      </c>
      <c r="B9" t="s">
        <v>22</v>
      </c>
      <c r="C9" t="s">
        <v>23</v>
      </c>
      <c r="D9" t="s">
        <v>14</v>
      </c>
      <c r="E9">
        <v>80</v>
      </c>
      <c r="F9" t="s">
        <v>24</v>
      </c>
      <c r="G9" t="s">
        <v>16</v>
      </c>
      <c r="H9" t="s">
        <v>25</v>
      </c>
      <c r="I9" t="s">
        <v>18</v>
      </c>
      <c r="J9">
        <v>21</v>
      </c>
      <c r="K9" t="s">
        <v>26</v>
      </c>
      <c r="L9">
        <v>0</v>
      </c>
      <c r="M9" t="s">
        <v>27</v>
      </c>
      <c r="N9" t="s">
        <v>21</v>
      </c>
      <c r="O9">
        <v>342</v>
      </c>
      <c r="P9">
        <v>58</v>
      </c>
    </row>
    <row r="10" spans="1:16" x14ac:dyDescent="0.3">
      <c r="A10" s="1">
        <v>42400</v>
      </c>
      <c r="B10" t="s">
        <v>12</v>
      </c>
      <c r="C10" t="s">
        <v>23</v>
      </c>
      <c r="D10" t="s">
        <v>14</v>
      </c>
      <c r="E10">
        <v>80</v>
      </c>
      <c r="F10" t="s">
        <v>28</v>
      </c>
      <c r="G10" t="s">
        <v>29</v>
      </c>
      <c r="H10" t="s">
        <v>25</v>
      </c>
      <c r="I10" t="s">
        <v>30</v>
      </c>
      <c r="J10">
        <v>21</v>
      </c>
      <c r="K10" t="s">
        <v>31</v>
      </c>
      <c r="L10">
        <v>0</v>
      </c>
      <c r="M10" t="s">
        <v>20</v>
      </c>
      <c r="N10" t="s">
        <v>21</v>
      </c>
      <c r="O10">
        <v>158</v>
      </c>
      <c r="P10">
        <v>37</v>
      </c>
    </row>
    <row r="11" spans="1:16" x14ac:dyDescent="0.3">
      <c r="A11" s="1">
        <v>42415</v>
      </c>
      <c r="B11" t="s">
        <v>22</v>
      </c>
      <c r="C11" t="s">
        <v>23</v>
      </c>
      <c r="D11" t="s">
        <v>32</v>
      </c>
      <c r="E11">
        <v>55</v>
      </c>
      <c r="F11" t="s">
        <v>24</v>
      </c>
      <c r="G11" t="s">
        <v>16</v>
      </c>
      <c r="H11" t="s">
        <v>25</v>
      </c>
      <c r="I11" t="s">
        <v>30</v>
      </c>
      <c r="J11">
        <v>26</v>
      </c>
      <c r="K11" t="s">
        <v>26</v>
      </c>
      <c r="L11">
        <v>0</v>
      </c>
      <c r="M11" t="s">
        <v>27</v>
      </c>
      <c r="N11" t="s">
        <v>33</v>
      </c>
      <c r="O11">
        <v>320</v>
      </c>
      <c r="P11">
        <v>51</v>
      </c>
    </row>
    <row r="12" spans="1:16" x14ac:dyDescent="0.3">
      <c r="A12" s="1">
        <v>42430</v>
      </c>
      <c r="B12" t="s">
        <v>34</v>
      </c>
      <c r="C12" t="s">
        <v>23</v>
      </c>
      <c r="D12" t="s">
        <v>35</v>
      </c>
      <c r="E12">
        <v>30</v>
      </c>
      <c r="F12" t="s">
        <v>15</v>
      </c>
      <c r="G12" t="s">
        <v>29</v>
      </c>
      <c r="H12" t="s">
        <v>17</v>
      </c>
      <c r="I12" t="s">
        <v>18</v>
      </c>
      <c r="J12">
        <v>31</v>
      </c>
      <c r="K12" t="s">
        <v>26</v>
      </c>
      <c r="L12">
        <v>0</v>
      </c>
      <c r="M12" t="s">
        <v>20</v>
      </c>
      <c r="N12" t="s">
        <v>36</v>
      </c>
      <c r="O12">
        <v>167</v>
      </c>
      <c r="P12">
        <v>58</v>
      </c>
    </row>
    <row r="13" spans="1:16" x14ac:dyDescent="0.3">
      <c r="A13" s="1">
        <v>42445</v>
      </c>
      <c r="B13" t="s">
        <v>22</v>
      </c>
      <c r="C13" t="s">
        <v>23</v>
      </c>
      <c r="D13" t="s">
        <v>14</v>
      </c>
      <c r="E13">
        <v>80</v>
      </c>
      <c r="F13" t="s">
        <v>24</v>
      </c>
      <c r="G13" t="s">
        <v>37</v>
      </c>
      <c r="H13" t="s">
        <v>17</v>
      </c>
      <c r="I13" t="s">
        <v>30</v>
      </c>
      <c r="J13" t="s">
        <v>38</v>
      </c>
      <c r="K13" t="s">
        <v>31</v>
      </c>
      <c r="L13">
        <v>0</v>
      </c>
      <c r="M13" t="s">
        <v>20</v>
      </c>
      <c r="N13" t="s">
        <v>39</v>
      </c>
      <c r="O13">
        <v>126</v>
      </c>
      <c r="P13">
        <v>68</v>
      </c>
    </row>
    <row r="14" spans="1:16" x14ac:dyDescent="0.3">
      <c r="A14" s="1">
        <v>42460</v>
      </c>
      <c r="B14" t="s">
        <v>34</v>
      </c>
      <c r="C14" t="s">
        <v>23</v>
      </c>
      <c r="D14" t="s">
        <v>14</v>
      </c>
      <c r="E14">
        <v>80</v>
      </c>
      <c r="F14" t="s">
        <v>15</v>
      </c>
      <c r="G14" t="s">
        <v>29</v>
      </c>
      <c r="H14" t="s">
        <v>17</v>
      </c>
      <c r="I14" t="s">
        <v>30</v>
      </c>
      <c r="J14" t="s">
        <v>38</v>
      </c>
      <c r="K14" t="s">
        <v>40</v>
      </c>
      <c r="L14">
        <v>0</v>
      </c>
      <c r="M14" t="s">
        <v>41</v>
      </c>
      <c r="N14" t="s">
        <v>42</v>
      </c>
      <c r="O14">
        <v>412</v>
      </c>
      <c r="P14">
        <v>40</v>
      </c>
    </row>
    <row r="15" spans="1:16" x14ac:dyDescent="0.3">
      <c r="A15" s="1">
        <v>42475</v>
      </c>
      <c r="B15" t="s">
        <v>12</v>
      </c>
      <c r="C15" t="s">
        <v>23</v>
      </c>
      <c r="D15" t="s">
        <v>14</v>
      </c>
      <c r="E15">
        <v>55</v>
      </c>
      <c r="F15" t="s">
        <v>15</v>
      </c>
      <c r="G15" t="s">
        <v>29</v>
      </c>
      <c r="H15" t="s">
        <v>17</v>
      </c>
      <c r="I15" t="s">
        <v>30</v>
      </c>
      <c r="J15">
        <v>21</v>
      </c>
      <c r="K15" t="s">
        <v>31</v>
      </c>
      <c r="L15">
        <v>1</v>
      </c>
      <c r="M15" t="s">
        <v>43</v>
      </c>
      <c r="N15" t="s">
        <v>36</v>
      </c>
      <c r="O15">
        <v>156</v>
      </c>
      <c r="P15">
        <v>74</v>
      </c>
    </row>
    <row r="16" spans="1:16" x14ac:dyDescent="0.3">
      <c r="A16" s="1">
        <v>42490</v>
      </c>
      <c r="B16" t="s">
        <v>34</v>
      </c>
      <c r="C16" t="s">
        <v>23</v>
      </c>
      <c r="D16" t="s">
        <v>14</v>
      </c>
      <c r="E16">
        <v>80</v>
      </c>
      <c r="F16" t="s">
        <v>15</v>
      </c>
      <c r="G16" t="s">
        <v>16</v>
      </c>
      <c r="H16" t="s">
        <v>17</v>
      </c>
      <c r="I16" t="s">
        <v>18</v>
      </c>
      <c r="J16">
        <v>26</v>
      </c>
      <c r="K16" t="s">
        <v>31</v>
      </c>
      <c r="L16">
        <v>1</v>
      </c>
      <c r="M16" t="s">
        <v>27</v>
      </c>
      <c r="N16" t="s">
        <v>33</v>
      </c>
      <c r="O16">
        <v>490</v>
      </c>
      <c r="P16">
        <v>43</v>
      </c>
    </row>
    <row r="17" spans="1:16" x14ac:dyDescent="0.3">
      <c r="A17" s="1">
        <v>42505</v>
      </c>
      <c r="B17" t="s">
        <v>12</v>
      </c>
      <c r="C17" t="s">
        <v>13</v>
      </c>
      <c r="D17" t="s">
        <v>14</v>
      </c>
      <c r="E17">
        <v>80</v>
      </c>
      <c r="F17" t="s">
        <v>44</v>
      </c>
      <c r="G17" t="s">
        <v>45</v>
      </c>
      <c r="H17" t="s">
        <v>17</v>
      </c>
      <c r="I17" t="s">
        <v>30</v>
      </c>
      <c r="J17">
        <v>36</v>
      </c>
      <c r="K17" t="s">
        <v>26</v>
      </c>
      <c r="L17">
        <v>0</v>
      </c>
      <c r="M17" t="s">
        <v>46</v>
      </c>
      <c r="N17" t="s">
        <v>47</v>
      </c>
      <c r="O17">
        <v>271</v>
      </c>
      <c r="P17">
        <v>49</v>
      </c>
    </row>
    <row r="18" spans="1:16" x14ac:dyDescent="0.3">
      <c r="A18" s="1">
        <v>42520</v>
      </c>
      <c r="B18" t="s">
        <v>34</v>
      </c>
      <c r="C18" t="s">
        <v>23</v>
      </c>
      <c r="D18" t="s">
        <v>14</v>
      </c>
      <c r="E18">
        <v>80</v>
      </c>
      <c r="F18" t="s">
        <v>15</v>
      </c>
      <c r="G18" t="s">
        <v>16</v>
      </c>
      <c r="H18" t="s">
        <v>17</v>
      </c>
      <c r="I18" t="s">
        <v>30</v>
      </c>
      <c r="J18">
        <v>36</v>
      </c>
      <c r="K18" t="s">
        <v>40</v>
      </c>
      <c r="L18">
        <v>0</v>
      </c>
      <c r="M18" t="s">
        <v>43</v>
      </c>
      <c r="N18" t="s">
        <v>33</v>
      </c>
      <c r="O18">
        <v>464</v>
      </c>
      <c r="P18">
        <v>91</v>
      </c>
    </row>
    <row r="19" spans="1:16" x14ac:dyDescent="0.3">
      <c r="A19" s="1">
        <v>42535</v>
      </c>
      <c r="B19" t="s">
        <v>12</v>
      </c>
      <c r="C19" t="s">
        <v>48</v>
      </c>
      <c r="D19" t="s">
        <v>14</v>
      </c>
      <c r="E19">
        <v>80</v>
      </c>
      <c r="F19" t="s">
        <v>28</v>
      </c>
      <c r="G19" t="s">
        <v>29</v>
      </c>
      <c r="H19" t="s">
        <v>17</v>
      </c>
      <c r="I19" t="s">
        <v>18</v>
      </c>
      <c r="J19">
        <v>41</v>
      </c>
      <c r="K19" t="s">
        <v>31</v>
      </c>
      <c r="L19">
        <v>0</v>
      </c>
      <c r="M19" t="s">
        <v>41</v>
      </c>
      <c r="N19" t="s">
        <v>33</v>
      </c>
      <c r="O19">
        <v>100</v>
      </c>
      <c r="P19">
        <v>99</v>
      </c>
    </row>
    <row r="20" spans="1:16" x14ac:dyDescent="0.3">
      <c r="A20" s="1">
        <v>42550</v>
      </c>
      <c r="B20" t="s">
        <v>22</v>
      </c>
      <c r="C20" t="s">
        <v>23</v>
      </c>
      <c r="D20" t="s">
        <v>14</v>
      </c>
      <c r="E20">
        <v>80</v>
      </c>
      <c r="F20" t="s">
        <v>24</v>
      </c>
      <c r="G20" t="s">
        <v>37</v>
      </c>
      <c r="H20" t="s">
        <v>25</v>
      </c>
      <c r="I20" t="s">
        <v>18</v>
      </c>
      <c r="J20">
        <v>31</v>
      </c>
      <c r="K20" t="s">
        <v>31</v>
      </c>
      <c r="L20">
        <v>0</v>
      </c>
      <c r="M20" t="s">
        <v>20</v>
      </c>
      <c r="N20" t="s">
        <v>49</v>
      </c>
      <c r="O20">
        <v>462</v>
      </c>
      <c r="P20">
        <v>69</v>
      </c>
    </row>
    <row r="21" spans="1:16" x14ac:dyDescent="0.3">
      <c r="A21" s="1">
        <v>42565</v>
      </c>
      <c r="B21" t="s">
        <v>22</v>
      </c>
      <c r="C21" t="s">
        <v>23</v>
      </c>
      <c r="D21" t="s">
        <v>14</v>
      </c>
      <c r="E21">
        <v>55</v>
      </c>
      <c r="F21" t="s">
        <v>24</v>
      </c>
      <c r="G21" t="s">
        <v>29</v>
      </c>
      <c r="H21" t="s">
        <v>25</v>
      </c>
      <c r="I21" t="s">
        <v>18</v>
      </c>
      <c r="J21">
        <v>21</v>
      </c>
      <c r="K21" t="s">
        <v>26</v>
      </c>
      <c r="L21">
        <v>0</v>
      </c>
      <c r="M21" t="s">
        <v>27</v>
      </c>
      <c r="N21" t="s">
        <v>50</v>
      </c>
      <c r="O21">
        <v>105</v>
      </c>
      <c r="P21">
        <v>35</v>
      </c>
    </row>
    <row r="22" spans="1:16" x14ac:dyDescent="0.3">
      <c r="A22" s="1">
        <v>42580</v>
      </c>
      <c r="B22" t="s">
        <v>22</v>
      </c>
      <c r="C22" t="s">
        <v>23</v>
      </c>
      <c r="D22" t="s">
        <v>35</v>
      </c>
      <c r="E22">
        <v>30</v>
      </c>
      <c r="F22" t="s">
        <v>24</v>
      </c>
      <c r="G22" t="s">
        <v>16</v>
      </c>
      <c r="H22" t="s">
        <v>25</v>
      </c>
      <c r="I22" t="s">
        <v>18</v>
      </c>
      <c r="J22" t="s">
        <v>38</v>
      </c>
      <c r="K22" t="s">
        <v>31</v>
      </c>
      <c r="L22">
        <v>1</v>
      </c>
      <c r="M22" t="s">
        <v>41</v>
      </c>
      <c r="N22" t="s">
        <v>51</v>
      </c>
      <c r="O22">
        <v>263</v>
      </c>
      <c r="P22">
        <v>91</v>
      </c>
    </row>
    <row r="23" spans="1:16" x14ac:dyDescent="0.3">
      <c r="A23" s="1">
        <v>42595</v>
      </c>
      <c r="B23" t="s">
        <v>22</v>
      </c>
      <c r="C23" t="s">
        <v>23</v>
      </c>
      <c r="D23" t="s">
        <v>32</v>
      </c>
      <c r="E23">
        <v>55</v>
      </c>
      <c r="F23" t="s">
        <v>24</v>
      </c>
      <c r="G23" t="s">
        <v>16</v>
      </c>
      <c r="H23" t="s">
        <v>25</v>
      </c>
      <c r="I23" t="s">
        <v>18</v>
      </c>
      <c r="J23">
        <v>31</v>
      </c>
      <c r="K23" t="s">
        <v>26</v>
      </c>
      <c r="L23">
        <v>0</v>
      </c>
      <c r="M23" t="s">
        <v>43</v>
      </c>
      <c r="N23" t="s">
        <v>36</v>
      </c>
      <c r="O23">
        <v>177</v>
      </c>
      <c r="P23">
        <v>35</v>
      </c>
    </row>
    <row r="24" spans="1:16" x14ac:dyDescent="0.3">
      <c r="A24" s="1">
        <v>42610</v>
      </c>
      <c r="B24" t="s">
        <v>12</v>
      </c>
      <c r="C24" t="s">
        <v>23</v>
      </c>
      <c r="D24" t="s">
        <v>14</v>
      </c>
      <c r="E24">
        <v>55</v>
      </c>
      <c r="F24" t="s">
        <v>28</v>
      </c>
      <c r="G24" t="s">
        <v>29</v>
      </c>
      <c r="H24" t="s">
        <v>25</v>
      </c>
      <c r="I24" t="s">
        <v>30</v>
      </c>
      <c r="J24">
        <v>21</v>
      </c>
      <c r="K24" t="s">
        <v>26</v>
      </c>
      <c r="L24">
        <v>0</v>
      </c>
      <c r="M24" t="s">
        <v>27</v>
      </c>
      <c r="N24" t="s">
        <v>52</v>
      </c>
      <c r="O24">
        <v>280</v>
      </c>
      <c r="P24">
        <v>80</v>
      </c>
    </row>
    <row r="25" spans="1:16" x14ac:dyDescent="0.3">
      <c r="A25" s="1">
        <v>42625</v>
      </c>
      <c r="B25" t="s">
        <v>22</v>
      </c>
      <c r="C25" t="s">
        <v>23</v>
      </c>
      <c r="D25" t="s">
        <v>14</v>
      </c>
      <c r="E25">
        <v>80</v>
      </c>
      <c r="F25" t="s">
        <v>24</v>
      </c>
      <c r="G25" t="s">
        <v>16</v>
      </c>
      <c r="H25" t="s">
        <v>17</v>
      </c>
      <c r="I25" t="s">
        <v>18</v>
      </c>
      <c r="J25">
        <v>41</v>
      </c>
      <c r="K25" t="s">
        <v>26</v>
      </c>
      <c r="L25">
        <v>0</v>
      </c>
      <c r="M25" t="s">
        <v>20</v>
      </c>
      <c r="N25" t="s">
        <v>52</v>
      </c>
      <c r="O25">
        <v>409</v>
      </c>
      <c r="P25">
        <v>32</v>
      </c>
    </row>
    <row r="26" spans="1:16" x14ac:dyDescent="0.3">
      <c r="A26" s="1">
        <v>42640</v>
      </c>
      <c r="B26" t="s">
        <v>12</v>
      </c>
      <c r="C26" t="s">
        <v>13</v>
      </c>
      <c r="D26" t="s">
        <v>14</v>
      </c>
      <c r="E26">
        <v>80</v>
      </c>
      <c r="F26" t="s">
        <v>15</v>
      </c>
      <c r="G26" t="s">
        <v>29</v>
      </c>
      <c r="H26" t="s">
        <v>17</v>
      </c>
      <c r="I26" t="s">
        <v>18</v>
      </c>
      <c r="J26">
        <v>26</v>
      </c>
      <c r="K26" t="s">
        <v>19</v>
      </c>
      <c r="L26">
        <v>0</v>
      </c>
      <c r="M26" t="s">
        <v>27</v>
      </c>
      <c r="N26" t="s">
        <v>49</v>
      </c>
      <c r="O26">
        <v>308</v>
      </c>
      <c r="P26">
        <v>83</v>
      </c>
    </row>
    <row r="27" spans="1:16" x14ac:dyDescent="0.3">
      <c r="A27" s="1">
        <v>42655</v>
      </c>
      <c r="B27" t="s">
        <v>34</v>
      </c>
      <c r="C27" t="s">
        <v>23</v>
      </c>
      <c r="D27" t="s">
        <v>14</v>
      </c>
      <c r="E27">
        <v>80</v>
      </c>
      <c r="F27" t="s">
        <v>44</v>
      </c>
      <c r="G27" t="s">
        <v>37</v>
      </c>
      <c r="H27" t="s">
        <v>17</v>
      </c>
      <c r="I27" t="s">
        <v>30</v>
      </c>
      <c r="J27">
        <v>21</v>
      </c>
      <c r="K27" t="s">
        <v>26</v>
      </c>
      <c r="L27">
        <v>0</v>
      </c>
      <c r="M27" t="s">
        <v>43</v>
      </c>
      <c r="N27" t="s">
        <v>49</v>
      </c>
      <c r="O27">
        <v>216</v>
      </c>
      <c r="P27">
        <v>40</v>
      </c>
    </row>
    <row r="28" spans="1:16" x14ac:dyDescent="0.3">
      <c r="A28" s="1">
        <v>42670</v>
      </c>
      <c r="B28" t="s">
        <v>12</v>
      </c>
      <c r="C28" t="s">
        <v>53</v>
      </c>
      <c r="D28" t="s">
        <v>14</v>
      </c>
      <c r="E28">
        <v>55</v>
      </c>
      <c r="F28" t="s">
        <v>15</v>
      </c>
      <c r="G28" t="s">
        <v>29</v>
      </c>
      <c r="H28" t="s">
        <v>25</v>
      </c>
      <c r="I28" t="s">
        <v>18</v>
      </c>
      <c r="J28">
        <v>26</v>
      </c>
      <c r="K28" t="s">
        <v>31</v>
      </c>
      <c r="L28">
        <v>1</v>
      </c>
      <c r="M28" t="s">
        <v>27</v>
      </c>
      <c r="N28" t="s">
        <v>33</v>
      </c>
      <c r="O28">
        <v>354</v>
      </c>
      <c r="P28">
        <v>30</v>
      </c>
    </row>
    <row r="29" spans="1:16" x14ac:dyDescent="0.3">
      <c r="A29" s="1">
        <v>42685</v>
      </c>
      <c r="B29" t="s">
        <v>12</v>
      </c>
      <c r="C29" t="s">
        <v>53</v>
      </c>
      <c r="D29" t="s">
        <v>32</v>
      </c>
      <c r="E29">
        <v>55</v>
      </c>
      <c r="F29" t="s">
        <v>44</v>
      </c>
      <c r="G29" t="s">
        <v>45</v>
      </c>
      <c r="H29" t="s">
        <v>17</v>
      </c>
      <c r="I29" t="s">
        <v>18</v>
      </c>
      <c r="J29">
        <v>46</v>
      </c>
      <c r="K29" t="s">
        <v>31</v>
      </c>
      <c r="L29">
        <v>1</v>
      </c>
      <c r="M29" t="s">
        <v>41</v>
      </c>
      <c r="N29" t="s">
        <v>54</v>
      </c>
      <c r="O29">
        <v>160</v>
      </c>
      <c r="P29">
        <v>68</v>
      </c>
    </row>
    <row r="30" spans="1:16" x14ac:dyDescent="0.3">
      <c r="A30" s="1">
        <v>42700</v>
      </c>
      <c r="B30" t="s">
        <v>12</v>
      </c>
      <c r="C30" t="s">
        <v>13</v>
      </c>
      <c r="D30" t="s">
        <v>14</v>
      </c>
      <c r="E30">
        <v>80</v>
      </c>
      <c r="F30" t="s">
        <v>28</v>
      </c>
      <c r="G30" t="s">
        <v>29</v>
      </c>
      <c r="H30" t="s">
        <v>25</v>
      </c>
      <c r="I30" t="s">
        <v>30</v>
      </c>
      <c r="J30">
        <v>31</v>
      </c>
      <c r="K30" t="s">
        <v>26</v>
      </c>
      <c r="L30">
        <v>0</v>
      </c>
      <c r="M30" t="s">
        <v>27</v>
      </c>
      <c r="N30" t="s">
        <v>55</v>
      </c>
      <c r="O30">
        <v>107</v>
      </c>
      <c r="P30">
        <v>87</v>
      </c>
    </row>
    <row r="31" spans="1:16" x14ac:dyDescent="0.3">
      <c r="A31" s="1">
        <v>42715</v>
      </c>
      <c r="B31" t="s">
        <v>12</v>
      </c>
      <c r="C31" t="s">
        <v>23</v>
      </c>
      <c r="D31" t="s">
        <v>14</v>
      </c>
      <c r="E31">
        <v>55</v>
      </c>
      <c r="F31" t="s">
        <v>56</v>
      </c>
      <c r="G31" t="s">
        <v>16</v>
      </c>
      <c r="H31" t="s">
        <v>17</v>
      </c>
      <c r="I31" t="s">
        <v>18</v>
      </c>
      <c r="J31">
        <v>36</v>
      </c>
      <c r="K31" t="s">
        <v>31</v>
      </c>
      <c r="L31">
        <v>1</v>
      </c>
      <c r="M31" t="s">
        <v>41</v>
      </c>
      <c r="N31" t="s">
        <v>57</v>
      </c>
      <c r="O31">
        <v>125</v>
      </c>
      <c r="P31">
        <v>61</v>
      </c>
    </row>
    <row r="32" spans="1:16" x14ac:dyDescent="0.3">
      <c r="A32" s="1">
        <v>42730</v>
      </c>
      <c r="B32" t="s">
        <v>12</v>
      </c>
      <c r="C32" t="s">
        <v>48</v>
      </c>
      <c r="D32" t="s">
        <v>14</v>
      </c>
      <c r="E32">
        <v>80</v>
      </c>
      <c r="F32" t="s">
        <v>28</v>
      </c>
      <c r="G32" t="s">
        <v>37</v>
      </c>
      <c r="H32" t="s">
        <v>25</v>
      </c>
      <c r="I32" t="s">
        <v>18</v>
      </c>
      <c r="J32" t="s">
        <v>38</v>
      </c>
      <c r="K32" t="s">
        <v>31</v>
      </c>
      <c r="L32">
        <v>1</v>
      </c>
      <c r="M32" t="s">
        <v>43</v>
      </c>
      <c r="N32" t="s">
        <v>36</v>
      </c>
      <c r="O32">
        <v>475</v>
      </c>
      <c r="P32">
        <v>68</v>
      </c>
    </row>
    <row r="33" spans="1:16" x14ac:dyDescent="0.3">
      <c r="A33" s="1">
        <v>42745</v>
      </c>
      <c r="B33" t="s">
        <v>22</v>
      </c>
      <c r="C33" t="s">
        <v>23</v>
      </c>
      <c r="D33" t="s">
        <v>35</v>
      </c>
      <c r="E33">
        <v>30</v>
      </c>
      <c r="F33" t="s">
        <v>24</v>
      </c>
      <c r="G33" t="s">
        <v>58</v>
      </c>
      <c r="H33" t="s">
        <v>17</v>
      </c>
      <c r="I33" t="s">
        <v>30</v>
      </c>
      <c r="J33">
        <v>31</v>
      </c>
      <c r="K33" t="s">
        <v>19</v>
      </c>
      <c r="L33">
        <v>0</v>
      </c>
      <c r="M33" t="s">
        <v>41</v>
      </c>
      <c r="N33" t="s">
        <v>33</v>
      </c>
      <c r="O33">
        <v>165</v>
      </c>
      <c r="P33">
        <v>94</v>
      </c>
    </row>
    <row r="34" spans="1:16" x14ac:dyDescent="0.3">
      <c r="A34" s="1">
        <v>42760</v>
      </c>
      <c r="B34" t="s">
        <v>12</v>
      </c>
      <c r="C34" t="s">
        <v>13</v>
      </c>
      <c r="D34" t="s">
        <v>14</v>
      </c>
      <c r="E34">
        <v>80</v>
      </c>
      <c r="F34" t="s">
        <v>56</v>
      </c>
      <c r="G34" t="s">
        <v>37</v>
      </c>
      <c r="H34" t="s">
        <v>25</v>
      </c>
      <c r="I34" t="s">
        <v>18</v>
      </c>
      <c r="J34">
        <v>21</v>
      </c>
      <c r="K34" t="s">
        <v>26</v>
      </c>
      <c r="L34">
        <v>0</v>
      </c>
      <c r="M34" t="s">
        <v>27</v>
      </c>
      <c r="N34" t="s">
        <v>54</v>
      </c>
      <c r="O34">
        <v>126</v>
      </c>
      <c r="P34">
        <v>92</v>
      </c>
    </row>
    <row r="35" spans="1:16" x14ac:dyDescent="0.3">
      <c r="A35" s="1">
        <v>42775</v>
      </c>
      <c r="B35" t="s">
        <v>34</v>
      </c>
      <c r="C35" t="s">
        <v>23</v>
      </c>
      <c r="D35" t="s">
        <v>14</v>
      </c>
      <c r="E35">
        <v>55</v>
      </c>
      <c r="F35" t="s">
        <v>15</v>
      </c>
      <c r="G35" t="s">
        <v>45</v>
      </c>
      <c r="H35" t="s">
        <v>17</v>
      </c>
      <c r="I35" t="s">
        <v>18</v>
      </c>
      <c r="J35">
        <v>26</v>
      </c>
      <c r="K35" t="s">
        <v>31</v>
      </c>
      <c r="L35">
        <v>1</v>
      </c>
      <c r="M35" t="s">
        <v>27</v>
      </c>
      <c r="N35" t="s">
        <v>33</v>
      </c>
      <c r="O35">
        <v>290</v>
      </c>
      <c r="P35">
        <v>77</v>
      </c>
    </row>
    <row r="36" spans="1:16" x14ac:dyDescent="0.3">
      <c r="A36" s="1">
        <v>42790</v>
      </c>
      <c r="B36" t="s">
        <v>12</v>
      </c>
      <c r="C36" t="s">
        <v>23</v>
      </c>
      <c r="D36" t="s">
        <v>32</v>
      </c>
      <c r="E36">
        <v>55</v>
      </c>
      <c r="F36" t="s">
        <v>28</v>
      </c>
      <c r="G36" t="s">
        <v>45</v>
      </c>
      <c r="H36" t="s">
        <v>17</v>
      </c>
      <c r="I36" t="s">
        <v>18</v>
      </c>
      <c r="J36">
        <v>31</v>
      </c>
      <c r="K36" t="s">
        <v>26</v>
      </c>
      <c r="L36">
        <v>0</v>
      </c>
      <c r="M36" t="s">
        <v>20</v>
      </c>
      <c r="N36" t="s">
        <v>59</v>
      </c>
      <c r="O36">
        <v>104</v>
      </c>
      <c r="P36">
        <v>64</v>
      </c>
    </row>
    <row r="37" spans="1:16" x14ac:dyDescent="0.3">
      <c r="A37" s="1">
        <v>42805</v>
      </c>
      <c r="B37" t="s">
        <v>34</v>
      </c>
      <c r="C37" t="s">
        <v>53</v>
      </c>
      <c r="D37" t="s">
        <v>14</v>
      </c>
      <c r="E37">
        <v>80</v>
      </c>
      <c r="F37" t="s">
        <v>44</v>
      </c>
      <c r="G37" t="s">
        <v>58</v>
      </c>
      <c r="H37" t="s">
        <v>25</v>
      </c>
      <c r="I37" t="s">
        <v>18</v>
      </c>
      <c r="J37">
        <v>26</v>
      </c>
      <c r="K37" t="s">
        <v>31</v>
      </c>
      <c r="L37">
        <v>1</v>
      </c>
      <c r="M37" t="s">
        <v>27</v>
      </c>
      <c r="N37" t="s">
        <v>49</v>
      </c>
      <c r="O37">
        <v>273</v>
      </c>
      <c r="P37">
        <v>97</v>
      </c>
    </row>
    <row r="38" spans="1:16" x14ac:dyDescent="0.3">
      <c r="A38" s="1">
        <v>42820</v>
      </c>
      <c r="B38" t="s">
        <v>12</v>
      </c>
      <c r="C38" t="s">
        <v>13</v>
      </c>
      <c r="D38" t="s">
        <v>35</v>
      </c>
      <c r="E38">
        <v>30</v>
      </c>
      <c r="F38" t="s">
        <v>28</v>
      </c>
      <c r="G38" t="s">
        <v>58</v>
      </c>
      <c r="H38" t="s">
        <v>17</v>
      </c>
      <c r="I38" t="s">
        <v>18</v>
      </c>
      <c r="J38">
        <v>41</v>
      </c>
      <c r="K38" t="s">
        <v>31</v>
      </c>
      <c r="L38">
        <v>1</v>
      </c>
      <c r="M38" t="s">
        <v>43</v>
      </c>
      <c r="N38" t="s">
        <v>60</v>
      </c>
      <c r="O38">
        <v>115</v>
      </c>
      <c r="P38">
        <v>75</v>
      </c>
    </row>
    <row r="39" spans="1:16" x14ac:dyDescent="0.3">
      <c r="A39" s="1">
        <v>42835</v>
      </c>
      <c r="B39" t="s">
        <v>12</v>
      </c>
      <c r="C39" t="s">
        <v>48</v>
      </c>
      <c r="D39" t="s">
        <v>32</v>
      </c>
      <c r="E39">
        <v>55</v>
      </c>
      <c r="F39" t="s">
        <v>15</v>
      </c>
      <c r="G39" t="s">
        <v>45</v>
      </c>
      <c r="H39" t="s">
        <v>25</v>
      </c>
      <c r="I39" t="s">
        <v>18</v>
      </c>
      <c r="J39">
        <v>26</v>
      </c>
      <c r="K39" t="s">
        <v>26</v>
      </c>
      <c r="L39">
        <v>0</v>
      </c>
      <c r="M39" t="s">
        <v>27</v>
      </c>
      <c r="N39" t="s">
        <v>49</v>
      </c>
      <c r="O39">
        <v>380</v>
      </c>
      <c r="P39">
        <v>73</v>
      </c>
    </row>
    <row r="40" spans="1:16" x14ac:dyDescent="0.3">
      <c r="A40" s="1">
        <v>42850</v>
      </c>
      <c r="B40" t="s">
        <v>34</v>
      </c>
      <c r="C40" t="s">
        <v>23</v>
      </c>
      <c r="D40" t="s">
        <v>14</v>
      </c>
      <c r="E40">
        <v>30</v>
      </c>
      <c r="F40" t="s">
        <v>15</v>
      </c>
      <c r="G40" t="s">
        <v>58</v>
      </c>
      <c r="H40" t="s">
        <v>25</v>
      </c>
      <c r="I40" t="s">
        <v>18</v>
      </c>
      <c r="J40" t="s">
        <v>61</v>
      </c>
      <c r="K40" t="s">
        <v>19</v>
      </c>
      <c r="L40">
        <v>0</v>
      </c>
      <c r="M40" t="s">
        <v>20</v>
      </c>
      <c r="N40" t="s">
        <v>21</v>
      </c>
      <c r="O40">
        <v>492</v>
      </c>
      <c r="P40">
        <v>73</v>
      </c>
    </row>
    <row r="41" spans="1:16" x14ac:dyDescent="0.3">
      <c r="A41" s="1">
        <v>42865</v>
      </c>
      <c r="B41" t="s">
        <v>12</v>
      </c>
      <c r="C41" t="s">
        <v>13</v>
      </c>
      <c r="D41" t="s">
        <v>14</v>
      </c>
      <c r="E41">
        <v>80</v>
      </c>
      <c r="F41" t="s">
        <v>15</v>
      </c>
      <c r="G41" t="s">
        <v>16</v>
      </c>
      <c r="H41" t="s">
        <v>25</v>
      </c>
      <c r="I41" t="s">
        <v>18</v>
      </c>
      <c r="J41">
        <v>41</v>
      </c>
      <c r="K41" t="s">
        <v>31</v>
      </c>
      <c r="L41">
        <v>1</v>
      </c>
      <c r="M41" t="s">
        <v>20</v>
      </c>
      <c r="N41" t="s">
        <v>62</v>
      </c>
      <c r="O41">
        <v>158</v>
      </c>
      <c r="P41">
        <v>98</v>
      </c>
    </row>
    <row r="42" spans="1:16" x14ac:dyDescent="0.3">
      <c r="A42" s="1">
        <v>42880</v>
      </c>
      <c r="B42" t="s">
        <v>12</v>
      </c>
      <c r="C42" t="s">
        <v>13</v>
      </c>
      <c r="D42" t="s">
        <v>14</v>
      </c>
      <c r="E42">
        <v>30</v>
      </c>
      <c r="F42" t="s">
        <v>44</v>
      </c>
      <c r="G42" t="s">
        <v>58</v>
      </c>
      <c r="H42" t="s">
        <v>17</v>
      </c>
      <c r="I42" t="s">
        <v>30</v>
      </c>
      <c r="J42">
        <v>31</v>
      </c>
      <c r="K42" t="s">
        <v>26</v>
      </c>
      <c r="L42">
        <v>0</v>
      </c>
      <c r="M42" t="s">
        <v>43</v>
      </c>
      <c r="N42" t="s">
        <v>52</v>
      </c>
      <c r="O42">
        <v>445</v>
      </c>
      <c r="P42">
        <v>33</v>
      </c>
    </row>
    <row r="43" spans="1:16" x14ac:dyDescent="0.3">
      <c r="A43" s="1">
        <v>42895</v>
      </c>
      <c r="B43" t="s">
        <v>34</v>
      </c>
      <c r="C43" t="s">
        <v>23</v>
      </c>
      <c r="D43" t="s">
        <v>35</v>
      </c>
      <c r="E43">
        <v>30</v>
      </c>
      <c r="F43" t="s">
        <v>44</v>
      </c>
      <c r="G43" t="s">
        <v>29</v>
      </c>
      <c r="H43" t="s">
        <v>25</v>
      </c>
      <c r="I43" t="s">
        <v>18</v>
      </c>
      <c r="J43">
        <v>21</v>
      </c>
      <c r="K43" t="s">
        <v>26</v>
      </c>
      <c r="L43">
        <v>0</v>
      </c>
      <c r="M43" t="s">
        <v>20</v>
      </c>
      <c r="N43" t="s">
        <v>21</v>
      </c>
      <c r="O43">
        <v>406</v>
      </c>
      <c r="P43">
        <v>95</v>
      </c>
    </row>
    <row r="44" spans="1:16" x14ac:dyDescent="0.3">
      <c r="A44" s="1">
        <v>42910</v>
      </c>
      <c r="B44" t="s">
        <v>34</v>
      </c>
      <c r="C44" t="s">
        <v>23</v>
      </c>
      <c r="D44" t="s">
        <v>14</v>
      </c>
      <c r="E44">
        <v>55</v>
      </c>
      <c r="F44" t="s">
        <v>15</v>
      </c>
      <c r="G44" t="s">
        <v>45</v>
      </c>
      <c r="H44" t="s">
        <v>17</v>
      </c>
      <c r="I44" t="s">
        <v>30</v>
      </c>
      <c r="J44">
        <v>31</v>
      </c>
      <c r="K44" t="s">
        <v>31</v>
      </c>
      <c r="L44">
        <v>1</v>
      </c>
      <c r="M44" t="s">
        <v>27</v>
      </c>
      <c r="N44" t="s">
        <v>57</v>
      </c>
      <c r="O44">
        <v>426</v>
      </c>
      <c r="P44">
        <v>37</v>
      </c>
    </row>
    <row r="45" spans="1:16" x14ac:dyDescent="0.3">
      <c r="A45" s="1">
        <v>42925</v>
      </c>
      <c r="B45" t="s">
        <v>34</v>
      </c>
      <c r="C45" t="s">
        <v>23</v>
      </c>
      <c r="D45" t="s">
        <v>14</v>
      </c>
      <c r="E45">
        <v>80</v>
      </c>
      <c r="F45" t="s">
        <v>15</v>
      </c>
      <c r="G45" t="s">
        <v>29</v>
      </c>
      <c r="H45" t="s">
        <v>17</v>
      </c>
      <c r="I45" t="s">
        <v>30</v>
      </c>
      <c r="J45">
        <v>21</v>
      </c>
      <c r="K45" t="s">
        <v>26</v>
      </c>
      <c r="L45">
        <v>0</v>
      </c>
      <c r="M45" t="s">
        <v>20</v>
      </c>
      <c r="N45" t="s">
        <v>21</v>
      </c>
      <c r="O45">
        <v>224</v>
      </c>
      <c r="P45">
        <v>44</v>
      </c>
    </row>
    <row r="46" spans="1:16" x14ac:dyDescent="0.3">
      <c r="A46" s="1">
        <v>42940</v>
      </c>
      <c r="B46" t="s">
        <v>22</v>
      </c>
      <c r="C46" t="s">
        <v>23</v>
      </c>
      <c r="D46" t="s">
        <v>14</v>
      </c>
      <c r="E46">
        <v>55</v>
      </c>
      <c r="F46" t="s">
        <v>24</v>
      </c>
      <c r="G46" t="s">
        <v>16</v>
      </c>
      <c r="H46" t="s">
        <v>17</v>
      </c>
      <c r="I46" t="s">
        <v>18</v>
      </c>
      <c r="J46">
        <v>36</v>
      </c>
      <c r="K46" t="s">
        <v>31</v>
      </c>
      <c r="L46">
        <v>1</v>
      </c>
      <c r="M46" t="s">
        <v>20</v>
      </c>
      <c r="N46" t="s">
        <v>54</v>
      </c>
      <c r="O46">
        <v>329</v>
      </c>
      <c r="P46">
        <v>76</v>
      </c>
    </row>
    <row r="47" spans="1:16" x14ac:dyDescent="0.3">
      <c r="A47" s="1">
        <v>42955</v>
      </c>
      <c r="B47" t="s">
        <v>22</v>
      </c>
      <c r="C47" t="s">
        <v>23</v>
      </c>
      <c r="D47" t="s">
        <v>14</v>
      </c>
      <c r="E47">
        <v>80</v>
      </c>
      <c r="F47" t="s">
        <v>24</v>
      </c>
      <c r="G47" t="s">
        <v>16</v>
      </c>
      <c r="H47" t="s">
        <v>17</v>
      </c>
      <c r="I47" t="s">
        <v>30</v>
      </c>
      <c r="J47" t="s">
        <v>38</v>
      </c>
      <c r="K47" t="s">
        <v>26</v>
      </c>
      <c r="L47">
        <v>1</v>
      </c>
      <c r="M47" t="s">
        <v>27</v>
      </c>
      <c r="N47" t="s">
        <v>63</v>
      </c>
      <c r="O47">
        <v>494</v>
      </c>
      <c r="P47">
        <v>37</v>
      </c>
    </row>
    <row r="48" spans="1:16" x14ac:dyDescent="0.3">
      <c r="A48" s="1">
        <v>42970</v>
      </c>
      <c r="B48" t="s">
        <v>12</v>
      </c>
      <c r="C48" t="s">
        <v>48</v>
      </c>
      <c r="D48" t="s">
        <v>14</v>
      </c>
      <c r="E48">
        <v>80</v>
      </c>
      <c r="F48" t="s">
        <v>28</v>
      </c>
      <c r="G48" t="s">
        <v>29</v>
      </c>
      <c r="H48" t="s">
        <v>17</v>
      </c>
      <c r="I48" t="s">
        <v>18</v>
      </c>
      <c r="J48">
        <v>26</v>
      </c>
      <c r="K48" t="s">
        <v>31</v>
      </c>
      <c r="L48">
        <v>0</v>
      </c>
      <c r="M48" t="s">
        <v>27</v>
      </c>
      <c r="N48" t="s">
        <v>33</v>
      </c>
      <c r="O48">
        <v>242</v>
      </c>
      <c r="P48">
        <v>57</v>
      </c>
    </row>
    <row r="49" spans="1:16" x14ac:dyDescent="0.3">
      <c r="A49" s="1">
        <v>42985</v>
      </c>
      <c r="B49" t="s">
        <v>12</v>
      </c>
      <c r="C49" t="s">
        <v>13</v>
      </c>
      <c r="D49" t="s">
        <v>14</v>
      </c>
      <c r="E49">
        <v>80</v>
      </c>
      <c r="F49" t="s">
        <v>44</v>
      </c>
      <c r="G49" t="s">
        <v>45</v>
      </c>
      <c r="H49" t="s">
        <v>17</v>
      </c>
      <c r="I49" t="s">
        <v>18</v>
      </c>
      <c r="J49">
        <v>21</v>
      </c>
      <c r="K49" t="s">
        <v>26</v>
      </c>
      <c r="L49">
        <v>0</v>
      </c>
      <c r="M49" t="s">
        <v>20</v>
      </c>
      <c r="N49" t="s">
        <v>49</v>
      </c>
      <c r="O49">
        <v>466</v>
      </c>
      <c r="P49">
        <v>73</v>
      </c>
    </row>
    <row r="50" spans="1:16" x14ac:dyDescent="0.3">
      <c r="A50" s="1">
        <v>43000</v>
      </c>
      <c r="B50" t="s">
        <v>12</v>
      </c>
      <c r="C50" t="s">
        <v>48</v>
      </c>
      <c r="D50" t="s">
        <v>14</v>
      </c>
      <c r="E50">
        <v>80</v>
      </c>
      <c r="F50" t="s">
        <v>28</v>
      </c>
      <c r="G50" t="s">
        <v>29</v>
      </c>
      <c r="H50" t="s">
        <v>25</v>
      </c>
      <c r="I50" t="s">
        <v>30</v>
      </c>
      <c r="J50">
        <v>31</v>
      </c>
      <c r="K50" t="s">
        <v>31</v>
      </c>
      <c r="L50">
        <v>0</v>
      </c>
      <c r="M50" t="s">
        <v>20</v>
      </c>
      <c r="N50" t="s">
        <v>33</v>
      </c>
      <c r="O50">
        <v>292</v>
      </c>
      <c r="P50">
        <v>84</v>
      </c>
    </row>
    <row r="51" spans="1:16" x14ac:dyDescent="0.3">
      <c r="A51" s="1">
        <v>43015</v>
      </c>
      <c r="B51" t="s">
        <v>12</v>
      </c>
      <c r="C51" t="s">
        <v>48</v>
      </c>
      <c r="D51" t="s">
        <v>14</v>
      </c>
      <c r="E51">
        <v>80</v>
      </c>
      <c r="F51" t="s">
        <v>15</v>
      </c>
      <c r="G51" t="s">
        <v>16</v>
      </c>
      <c r="H51" t="s">
        <v>25</v>
      </c>
      <c r="I51" t="s">
        <v>30</v>
      </c>
      <c r="J51" t="s">
        <v>38</v>
      </c>
      <c r="K51" t="s">
        <v>31</v>
      </c>
      <c r="L51">
        <v>1</v>
      </c>
      <c r="M51" t="s">
        <v>43</v>
      </c>
      <c r="N51" t="s">
        <v>64</v>
      </c>
      <c r="O51">
        <v>356</v>
      </c>
      <c r="P51">
        <v>90</v>
      </c>
    </row>
    <row r="52" spans="1:16" x14ac:dyDescent="0.3">
      <c r="A52" s="1">
        <v>43030</v>
      </c>
      <c r="B52" t="s">
        <v>12</v>
      </c>
      <c r="C52" t="s">
        <v>13</v>
      </c>
      <c r="D52" t="s">
        <v>14</v>
      </c>
      <c r="E52">
        <v>80</v>
      </c>
      <c r="F52" t="s">
        <v>56</v>
      </c>
      <c r="G52" t="s">
        <v>16</v>
      </c>
      <c r="H52" t="s">
        <v>17</v>
      </c>
      <c r="I52" t="s">
        <v>18</v>
      </c>
      <c r="J52">
        <v>21</v>
      </c>
      <c r="K52" t="s">
        <v>26</v>
      </c>
      <c r="L52">
        <v>0</v>
      </c>
      <c r="M52" t="s">
        <v>27</v>
      </c>
      <c r="N52" t="s">
        <v>21</v>
      </c>
      <c r="O52">
        <v>424</v>
      </c>
      <c r="P52">
        <v>42</v>
      </c>
    </row>
    <row r="53" spans="1:16" x14ac:dyDescent="0.3">
      <c r="A53" s="1">
        <v>43045</v>
      </c>
      <c r="B53" t="s">
        <v>12</v>
      </c>
      <c r="C53" t="s">
        <v>23</v>
      </c>
      <c r="D53" t="s">
        <v>14</v>
      </c>
      <c r="E53">
        <v>55</v>
      </c>
      <c r="F53" t="s">
        <v>15</v>
      </c>
      <c r="G53" t="s">
        <v>29</v>
      </c>
      <c r="H53" t="s">
        <v>25</v>
      </c>
      <c r="I53" t="s">
        <v>30</v>
      </c>
      <c r="J53" t="s">
        <v>38</v>
      </c>
      <c r="K53" t="s">
        <v>31</v>
      </c>
      <c r="L53">
        <v>1</v>
      </c>
      <c r="M53" t="s">
        <v>20</v>
      </c>
      <c r="N53" t="s">
        <v>65</v>
      </c>
      <c r="O53">
        <v>286</v>
      </c>
      <c r="P53">
        <v>87</v>
      </c>
    </row>
    <row r="54" spans="1:16" x14ac:dyDescent="0.3">
      <c r="A54" s="1">
        <v>43060</v>
      </c>
      <c r="B54" t="s">
        <v>34</v>
      </c>
      <c r="C54" t="s">
        <v>23</v>
      </c>
      <c r="D54" t="s">
        <v>14</v>
      </c>
      <c r="E54">
        <v>80</v>
      </c>
      <c r="F54" t="s">
        <v>15</v>
      </c>
      <c r="G54" t="s">
        <v>58</v>
      </c>
      <c r="H54" t="s">
        <v>17</v>
      </c>
      <c r="I54" t="s">
        <v>30</v>
      </c>
      <c r="J54">
        <v>36</v>
      </c>
      <c r="K54" t="s">
        <v>40</v>
      </c>
      <c r="L54">
        <v>0</v>
      </c>
      <c r="M54" t="s">
        <v>43</v>
      </c>
      <c r="N54" t="s">
        <v>33</v>
      </c>
      <c r="O54">
        <v>477</v>
      </c>
      <c r="P54">
        <v>69</v>
      </c>
    </row>
    <row r="55" spans="1:16" x14ac:dyDescent="0.3">
      <c r="A55" s="1">
        <v>43075</v>
      </c>
      <c r="B55" t="s">
        <v>34</v>
      </c>
      <c r="C55" t="s">
        <v>53</v>
      </c>
      <c r="D55" t="s">
        <v>35</v>
      </c>
      <c r="E55">
        <v>30</v>
      </c>
      <c r="F55" t="s">
        <v>44</v>
      </c>
      <c r="G55" t="s">
        <v>37</v>
      </c>
      <c r="H55" t="s">
        <v>25</v>
      </c>
      <c r="I55" t="s">
        <v>18</v>
      </c>
      <c r="J55">
        <v>36</v>
      </c>
      <c r="K55" t="s">
        <v>31</v>
      </c>
      <c r="L55">
        <v>1</v>
      </c>
      <c r="M55" t="s">
        <v>43</v>
      </c>
      <c r="N55" t="s">
        <v>54</v>
      </c>
      <c r="O55">
        <v>434</v>
      </c>
      <c r="P55">
        <v>58</v>
      </c>
    </row>
    <row r="56" spans="1:16" x14ac:dyDescent="0.3">
      <c r="A56" s="1">
        <v>43090</v>
      </c>
      <c r="B56" t="s">
        <v>12</v>
      </c>
      <c r="C56" t="s">
        <v>48</v>
      </c>
      <c r="D56" t="s">
        <v>35</v>
      </c>
      <c r="E56">
        <v>30</v>
      </c>
      <c r="F56" t="s">
        <v>56</v>
      </c>
      <c r="G56" t="s">
        <v>29</v>
      </c>
      <c r="H56" t="s">
        <v>25</v>
      </c>
      <c r="I56" t="s">
        <v>30</v>
      </c>
      <c r="J56">
        <v>26</v>
      </c>
      <c r="K56" t="s">
        <v>31</v>
      </c>
      <c r="L56">
        <v>0</v>
      </c>
      <c r="M56" t="s">
        <v>27</v>
      </c>
      <c r="N56" t="s">
        <v>36</v>
      </c>
      <c r="O56">
        <v>470</v>
      </c>
      <c r="P56">
        <v>78</v>
      </c>
    </row>
    <row r="57" spans="1:16" x14ac:dyDescent="0.3">
      <c r="A57" s="1">
        <v>43105</v>
      </c>
      <c r="B57" t="s">
        <v>34</v>
      </c>
      <c r="C57" t="s">
        <v>23</v>
      </c>
      <c r="D57" t="s">
        <v>14</v>
      </c>
      <c r="E57">
        <v>55</v>
      </c>
      <c r="F57" t="s">
        <v>44</v>
      </c>
      <c r="G57" t="s">
        <v>58</v>
      </c>
      <c r="H57" t="s">
        <v>17</v>
      </c>
      <c r="I57" t="s">
        <v>30</v>
      </c>
      <c r="J57" t="s">
        <v>38</v>
      </c>
      <c r="K57" t="s">
        <v>26</v>
      </c>
      <c r="L57">
        <v>0</v>
      </c>
      <c r="M57" t="s">
        <v>41</v>
      </c>
      <c r="N57" t="s">
        <v>51</v>
      </c>
      <c r="O57">
        <v>446</v>
      </c>
      <c r="P57">
        <v>44</v>
      </c>
    </row>
    <row r="58" spans="1:16" x14ac:dyDescent="0.3">
      <c r="A58" s="1">
        <v>43120</v>
      </c>
      <c r="B58" t="s">
        <v>34</v>
      </c>
      <c r="C58" t="s">
        <v>23</v>
      </c>
      <c r="D58" t="s">
        <v>14</v>
      </c>
      <c r="E58">
        <v>55</v>
      </c>
      <c r="F58" t="s">
        <v>15</v>
      </c>
      <c r="G58" t="s">
        <v>45</v>
      </c>
      <c r="H58" t="s">
        <v>17</v>
      </c>
      <c r="I58" t="s">
        <v>18</v>
      </c>
      <c r="J58">
        <v>26</v>
      </c>
      <c r="K58" t="s">
        <v>26</v>
      </c>
      <c r="L58">
        <v>0</v>
      </c>
      <c r="M58" t="s">
        <v>46</v>
      </c>
      <c r="N58" t="s">
        <v>36</v>
      </c>
      <c r="O58">
        <v>184</v>
      </c>
      <c r="P58">
        <v>83</v>
      </c>
    </row>
    <row r="59" spans="1:16" x14ac:dyDescent="0.3">
      <c r="A59" s="1">
        <v>43135</v>
      </c>
      <c r="B59" t="s">
        <v>22</v>
      </c>
      <c r="C59" t="s">
        <v>23</v>
      </c>
      <c r="D59" t="s">
        <v>14</v>
      </c>
      <c r="E59">
        <v>55</v>
      </c>
      <c r="F59" t="s">
        <v>24</v>
      </c>
      <c r="G59" t="s">
        <v>29</v>
      </c>
      <c r="H59" t="s">
        <v>25</v>
      </c>
      <c r="I59" t="s">
        <v>30</v>
      </c>
      <c r="J59">
        <v>21</v>
      </c>
      <c r="K59" t="s">
        <v>19</v>
      </c>
      <c r="L59">
        <v>0</v>
      </c>
      <c r="M59" t="s">
        <v>20</v>
      </c>
      <c r="N59" t="s">
        <v>36</v>
      </c>
      <c r="O59">
        <v>259</v>
      </c>
      <c r="P59">
        <v>35</v>
      </c>
    </row>
    <row r="60" spans="1:16" x14ac:dyDescent="0.3">
      <c r="A60" s="1">
        <v>43150</v>
      </c>
      <c r="B60" t="s">
        <v>12</v>
      </c>
      <c r="C60" t="s">
        <v>23</v>
      </c>
      <c r="D60" t="s">
        <v>14</v>
      </c>
      <c r="E60">
        <v>55</v>
      </c>
      <c r="F60" t="s">
        <v>56</v>
      </c>
      <c r="G60" t="s">
        <v>16</v>
      </c>
      <c r="H60" t="s">
        <v>17</v>
      </c>
      <c r="I60" t="s">
        <v>18</v>
      </c>
      <c r="J60">
        <v>21</v>
      </c>
      <c r="K60" t="s">
        <v>26</v>
      </c>
      <c r="L60">
        <v>0</v>
      </c>
      <c r="M60" t="s">
        <v>43</v>
      </c>
      <c r="N60" t="s">
        <v>21</v>
      </c>
      <c r="O60">
        <v>500</v>
      </c>
      <c r="P60">
        <v>71</v>
      </c>
    </row>
    <row r="61" spans="1:16" x14ac:dyDescent="0.3">
      <c r="A61" s="1">
        <v>43165</v>
      </c>
      <c r="B61" t="s">
        <v>22</v>
      </c>
      <c r="C61" t="s">
        <v>23</v>
      </c>
      <c r="D61" t="s">
        <v>14</v>
      </c>
      <c r="E61">
        <v>55</v>
      </c>
      <c r="F61" t="s">
        <v>24</v>
      </c>
      <c r="G61" t="s">
        <v>45</v>
      </c>
      <c r="H61" t="s">
        <v>17</v>
      </c>
      <c r="I61" t="s">
        <v>18</v>
      </c>
      <c r="J61">
        <v>41</v>
      </c>
      <c r="K61" t="s">
        <v>31</v>
      </c>
      <c r="L61">
        <v>1</v>
      </c>
      <c r="M61" t="s">
        <v>41</v>
      </c>
      <c r="N61" t="s">
        <v>51</v>
      </c>
      <c r="O61">
        <v>379</v>
      </c>
      <c r="P61">
        <v>89</v>
      </c>
    </row>
    <row r="62" spans="1:16" x14ac:dyDescent="0.3">
      <c r="A62" s="1">
        <v>43180</v>
      </c>
      <c r="B62" t="s">
        <v>12</v>
      </c>
      <c r="C62" t="s">
        <v>13</v>
      </c>
      <c r="D62" t="s">
        <v>14</v>
      </c>
      <c r="E62">
        <v>80</v>
      </c>
      <c r="F62" t="s">
        <v>56</v>
      </c>
      <c r="G62" t="s">
        <v>29</v>
      </c>
      <c r="H62" t="s">
        <v>17</v>
      </c>
      <c r="I62" t="s">
        <v>30</v>
      </c>
      <c r="J62">
        <v>21</v>
      </c>
      <c r="K62" t="s">
        <v>19</v>
      </c>
      <c r="L62">
        <v>0</v>
      </c>
      <c r="M62" t="s">
        <v>41</v>
      </c>
      <c r="N62" t="s">
        <v>21</v>
      </c>
      <c r="O62">
        <v>130</v>
      </c>
      <c r="P62">
        <v>57</v>
      </c>
    </row>
    <row r="63" spans="1:16" x14ac:dyDescent="0.3">
      <c r="A63" s="1">
        <v>43195</v>
      </c>
      <c r="B63" t="s">
        <v>22</v>
      </c>
      <c r="C63" t="s">
        <v>23</v>
      </c>
      <c r="D63" t="s">
        <v>35</v>
      </c>
      <c r="E63">
        <v>30</v>
      </c>
      <c r="F63" t="s">
        <v>24</v>
      </c>
      <c r="G63" t="s">
        <v>58</v>
      </c>
      <c r="H63" t="s">
        <v>17</v>
      </c>
      <c r="I63" t="s">
        <v>18</v>
      </c>
      <c r="J63">
        <v>26</v>
      </c>
      <c r="K63" t="s">
        <v>31</v>
      </c>
      <c r="L63">
        <v>0</v>
      </c>
      <c r="M63" t="s">
        <v>41</v>
      </c>
      <c r="N63" t="s">
        <v>55</v>
      </c>
      <c r="O63">
        <v>232</v>
      </c>
      <c r="P63">
        <v>78</v>
      </c>
    </row>
    <row r="64" spans="1:16" x14ac:dyDescent="0.3">
      <c r="A64" s="1">
        <v>43210</v>
      </c>
      <c r="B64" t="s">
        <v>34</v>
      </c>
      <c r="C64" t="s">
        <v>23</v>
      </c>
      <c r="D64" t="s">
        <v>14</v>
      </c>
      <c r="E64">
        <v>30</v>
      </c>
      <c r="F64" t="s">
        <v>15</v>
      </c>
      <c r="G64" t="s">
        <v>37</v>
      </c>
      <c r="H64" t="s">
        <v>17</v>
      </c>
      <c r="I64" t="s">
        <v>18</v>
      </c>
      <c r="J64">
        <v>21</v>
      </c>
      <c r="K64" t="s">
        <v>26</v>
      </c>
      <c r="L64">
        <v>1</v>
      </c>
      <c r="M64" t="s">
        <v>20</v>
      </c>
      <c r="N64" t="s">
        <v>65</v>
      </c>
      <c r="O64">
        <v>496</v>
      </c>
      <c r="P64">
        <v>46</v>
      </c>
    </row>
    <row r="65" spans="1:16" x14ac:dyDescent="0.3">
      <c r="A65" s="1">
        <v>43225</v>
      </c>
      <c r="B65" t="s">
        <v>22</v>
      </c>
      <c r="C65" t="s">
        <v>23</v>
      </c>
      <c r="D65" t="s">
        <v>14</v>
      </c>
      <c r="E65">
        <v>55</v>
      </c>
      <c r="F65" t="s">
        <v>24</v>
      </c>
      <c r="G65" t="s">
        <v>29</v>
      </c>
      <c r="H65" t="s">
        <v>25</v>
      </c>
      <c r="I65" t="s">
        <v>30</v>
      </c>
      <c r="J65">
        <v>26</v>
      </c>
      <c r="K65" t="s">
        <v>31</v>
      </c>
      <c r="L65">
        <v>0</v>
      </c>
      <c r="M65" t="s">
        <v>27</v>
      </c>
      <c r="N65" t="s">
        <v>66</v>
      </c>
      <c r="O65">
        <v>184</v>
      </c>
      <c r="P65">
        <v>61</v>
      </c>
    </row>
    <row r="66" spans="1:16" x14ac:dyDescent="0.3">
      <c r="A66" s="1">
        <v>43240</v>
      </c>
      <c r="B66" t="s">
        <v>12</v>
      </c>
      <c r="C66" t="s">
        <v>13</v>
      </c>
      <c r="D66" t="s">
        <v>14</v>
      </c>
      <c r="E66">
        <v>80</v>
      </c>
      <c r="F66" t="s">
        <v>56</v>
      </c>
      <c r="G66" t="s">
        <v>29</v>
      </c>
      <c r="H66" t="s">
        <v>25</v>
      </c>
      <c r="I66" t="s">
        <v>18</v>
      </c>
      <c r="J66">
        <v>41</v>
      </c>
      <c r="K66" t="s">
        <v>31</v>
      </c>
      <c r="L66">
        <v>1</v>
      </c>
      <c r="M66" t="s">
        <v>41</v>
      </c>
      <c r="N66" t="s">
        <v>51</v>
      </c>
      <c r="O66">
        <v>239</v>
      </c>
      <c r="P66">
        <v>34</v>
      </c>
    </row>
    <row r="67" spans="1:16" x14ac:dyDescent="0.3">
      <c r="A67" s="1">
        <v>43255</v>
      </c>
      <c r="B67" t="s">
        <v>12</v>
      </c>
      <c r="C67" t="s">
        <v>13</v>
      </c>
      <c r="D67" t="s">
        <v>14</v>
      </c>
      <c r="E67">
        <v>80</v>
      </c>
      <c r="F67" t="s">
        <v>56</v>
      </c>
      <c r="G67" t="s">
        <v>29</v>
      </c>
      <c r="H67" t="s">
        <v>17</v>
      </c>
      <c r="I67" t="s">
        <v>30</v>
      </c>
      <c r="J67">
        <v>36</v>
      </c>
      <c r="K67" t="s">
        <v>31</v>
      </c>
      <c r="L67">
        <v>1</v>
      </c>
      <c r="M67" t="s">
        <v>41</v>
      </c>
      <c r="N67" t="s">
        <v>62</v>
      </c>
      <c r="O67">
        <v>325</v>
      </c>
      <c r="P67">
        <v>64</v>
      </c>
    </row>
    <row r="68" spans="1:16" x14ac:dyDescent="0.3">
      <c r="A68" s="1">
        <v>43270</v>
      </c>
      <c r="B68" t="s">
        <v>12</v>
      </c>
      <c r="C68" t="s">
        <v>23</v>
      </c>
      <c r="D68" t="s">
        <v>14</v>
      </c>
      <c r="E68">
        <v>80</v>
      </c>
      <c r="F68" t="s">
        <v>56</v>
      </c>
      <c r="G68" t="s">
        <v>16</v>
      </c>
      <c r="H68" t="s">
        <v>25</v>
      </c>
      <c r="I68" t="s">
        <v>30</v>
      </c>
      <c r="J68">
        <v>46</v>
      </c>
      <c r="K68" t="s">
        <v>26</v>
      </c>
      <c r="L68">
        <v>0</v>
      </c>
      <c r="M68" t="s">
        <v>20</v>
      </c>
      <c r="N68" t="s">
        <v>67</v>
      </c>
      <c r="O68">
        <v>310</v>
      </c>
      <c r="P68">
        <v>100</v>
      </c>
    </row>
    <row r="69" spans="1:16" x14ac:dyDescent="0.3">
      <c r="A69" s="1">
        <v>43285</v>
      </c>
      <c r="B69" t="s">
        <v>34</v>
      </c>
      <c r="C69" t="s">
        <v>48</v>
      </c>
      <c r="D69" t="s">
        <v>14</v>
      </c>
      <c r="E69">
        <v>55</v>
      </c>
      <c r="F69" t="s">
        <v>44</v>
      </c>
      <c r="G69" t="s">
        <v>45</v>
      </c>
      <c r="H69" t="s">
        <v>17</v>
      </c>
      <c r="I69" t="s">
        <v>18</v>
      </c>
      <c r="J69" t="s">
        <v>38</v>
      </c>
      <c r="K69" t="s">
        <v>31</v>
      </c>
      <c r="L69">
        <v>1</v>
      </c>
      <c r="M69" t="s">
        <v>20</v>
      </c>
      <c r="N69" t="s">
        <v>63</v>
      </c>
      <c r="O69">
        <v>350</v>
      </c>
      <c r="P69">
        <v>72</v>
      </c>
    </row>
    <row r="70" spans="1:16" x14ac:dyDescent="0.3">
      <c r="A70" s="1">
        <v>43300</v>
      </c>
      <c r="B70" t="s">
        <v>34</v>
      </c>
      <c r="C70" t="s">
        <v>23</v>
      </c>
      <c r="D70" t="s">
        <v>14</v>
      </c>
      <c r="E70">
        <v>80</v>
      </c>
      <c r="F70" t="s">
        <v>15</v>
      </c>
      <c r="G70" t="s">
        <v>29</v>
      </c>
      <c r="H70" t="s">
        <v>17</v>
      </c>
      <c r="I70" t="s">
        <v>30</v>
      </c>
      <c r="J70" t="s">
        <v>38</v>
      </c>
      <c r="K70" t="s">
        <v>40</v>
      </c>
      <c r="L70">
        <v>1</v>
      </c>
      <c r="M70" t="s">
        <v>41</v>
      </c>
      <c r="N70" t="s">
        <v>49</v>
      </c>
      <c r="O70">
        <v>272</v>
      </c>
      <c r="P70">
        <v>37</v>
      </c>
    </row>
    <row r="71" spans="1:16" x14ac:dyDescent="0.3">
      <c r="A71" s="1">
        <v>43315</v>
      </c>
      <c r="B71" t="s">
        <v>12</v>
      </c>
      <c r="C71" t="s">
        <v>13</v>
      </c>
      <c r="D71" t="s">
        <v>14</v>
      </c>
      <c r="E71">
        <v>80</v>
      </c>
      <c r="F71" t="s">
        <v>15</v>
      </c>
      <c r="G71" t="s">
        <v>16</v>
      </c>
      <c r="H71" t="s">
        <v>25</v>
      </c>
      <c r="I71" t="s">
        <v>18</v>
      </c>
      <c r="J71" t="s">
        <v>38</v>
      </c>
      <c r="K71" t="s">
        <v>31</v>
      </c>
      <c r="L71">
        <v>1</v>
      </c>
      <c r="M71" t="s">
        <v>20</v>
      </c>
      <c r="N71" t="s">
        <v>33</v>
      </c>
      <c r="O71">
        <v>437</v>
      </c>
      <c r="P71">
        <v>75</v>
      </c>
    </row>
    <row r="72" spans="1:16" x14ac:dyDescent="0.3">
      <c r="A72" s="1">
        <v>43330</v>
      </c>
      <c r="B72" t="s">
        <v>12</v>
      </c>
      <c r="C72" t="s">
        <v>13</v>
      </c>
      <c r="D72" t="s">
        <v>14</v>
      </c>
      <c r="E72">
        <v>80</v>
      </c>
      <c r="F72" t="s">
        <v>56</v>
      </c>
      <c r="G72" t="s">
        <v>29</v>
      </c>
      <c r="H72" t="s">
        <v>17</v>
      </c>
      <c r="I72" t="s">
        <v>18</v>
      </c>
      <c r="J72">
        <v>21</v>
      </c>
      <c r="K72" t="s">
        <v>26</v>
      </c>
      <c r="L72">
        <v>0</v>
      </c>
      <c r="M72" t="s">
        <v>20</v>
      </c>
      <c r="N72" t="s">
        <v>21</v>
      </c>
      <c r="O72">
        <v>255</v>
      </c>
      <c r="P72">
        <v>55</v>
      </c>
    </row>
    <row r="73" spans="1:16" x14ac:dyDescent="0.3">
      <c r="A73" s="1">
        <v>43345</v>
      </c>
      <c r="B73" t="s">
        <v>34</v>
      </c>
      <c r="C73" t="s">
        <v>23</v>
      </c>
      <c r="D73" t="s">
        <v>14</v>
      </c>
      <c r="E73">
        <v>80</v>
      </c>
      <c r="F73" t="s">
        <v>44</v>
      </c>
      <c r="G73" t="s">
        <v>16</v>
      </c>
      <c r="H73" t="s">
        <v>25</v>
      </c>
      <c r="I73" t="s">
        <v>18</v>
      </c>
      <c r="J73">
        <v>31</v>
      </c>
      <c r="K73" t="s">
        <v>31</v>
      </c>
      <c r="L73">
        <v>1</v>
      </c>
      <c r="M73" t="s">
        <v>41</v>
      </c>
      <c r="N73" t="s">
        <v>51</v>
      </c>
      <c r="O73">
        <v>228</v>
      </c>
      <c r="P73">
        <v>93</v>
      </c>
    </row>
    <row r="74" spans="1:16" x14ac:dyDescent="0.3">
      <c r="A74" s="1">
        <v>43360</v>
      </c>
      <c r="B74" t="s">
        <v>22</v>
      </c>
      <c r="C74" t="s">
        <v>23</v>
      </c>
      <c r="D74" t="s">
        <v>14</v>
      </c>
      <c r="E74">
        <v>80</v>
      </c>
      <c r="F74" t="s">
        <v>24</v>
      </c>
      <c r="G74" t="s">
        <v>29</v>
      </c>
      <c r="H74" t="s">
        <v>25</v>
      </c>
      <c r="I74" t="s">
        <v>30</v>
      </c>
      <c r="J74">
        <v>26</v>
      </c>
      <c r="K74" t="s">
        <v>26</v>
      </c>
      <c r="L74">
        <v>0</v>
      </c>
      <c r="M74" t="s">
        <v>27</v>
      </c>
      <c r="N74" t="s">
        <v>65</v>
      </c>
      <c r="O74">
        <v>487</v>
      </c>
      <c r="P74">
        <v>84</v>
      </c>
    </row>
    <row r="75" spans="1:16" x14ac:dyDescent="0.3">
      <c r="A75" s="1">
        <v>43375</v>
      </c>
      <c r="B75" t="s">
        <v>12</v>
      </c>
      <c r="C75" t="s">
        <v>53</v>
      </c>
      <c r="D75" t="s">
        <v>35</v>
      </c>
      <c r="E75">
        <v>30</v>
      </c>
      <c r="F75" t="s">
        <v>15</v>
      </c>
      <c r="G75" t="s">
        <v>45</v>
      </c>
      <c r="H75" t="s">
        <v>17</v>
      </c>
      <c r="I75" t="s">
        <v>18</v>
      </c>
      <c r="J75">
        <v>36</v>
      </c>
      <c r="K75" t="s">
        <v>19</v>
      </c>
      <c r="L75">
        <v>1</v>
      </c>
      <c r="M75" t="s">
        <v>20</v>
      </c>
      <c r="N75" t="s">
        <v>68</v>
      </c>
      <c r="O75">
        <v>285</v>
      </c>
      <c r="P75">
        <v>81</v>
      </c>
    </row>
    <row r="76" spans="1:16" x14ac:dyDescent="0.3">
      <c r="A76" s="1">
        <v>43390</v>
      </c>
      <c r="B76" t="s">
        <v>34</v>
      </c>
      <c r="C76" t="s">
        <v>23</v>
      </c>
      <c r="D76" t="s">
        <v>14</v>
      </c>
      <c r="E76">
        <v>80</v>
      </c>
      <c r="F76" t="s">
        <v>15</v>
      </c>
      <c r="G76" t="s">
        <v>37</v>
      </c>
      <c r="H76" t="s">
        <v>17</v>
      </c>
      <c r="I76" t="s">
        <v>18</v>
      </c>
      <c r="J76">
        <v>41</v>
      </c>
      <c r="K76" t="s">
        <v>40</v>
      </c>
      <c r="L76">
        <v>1</v>
      </c>
      <c r="M76" t="s">
        <v>46</v>
      </c>
      <c r="N76" t="s">
        <v>49</v>
      </c>
      <c r="O76">
        <v>449</v>
      </c>
      <c r="P76">
        <v>86</v>
      </c>
    </row>
    <row r="77" spans="1:16" x14ac:dyDescent="0.3">
      <c r="A77" s="1">
        <v>43405</v>
      </c>
      <c r="B77" t="s">
        <v>22</v>
      </c>
      <c r="C77" t="s">
        <v>23</v>
      </c>
      <c r="D77" t="s">
        <v>14</v>
      </c>
      <c r="E77">
        <v>55</v>
      </c>
      <c r="F77" t="s">
        <v>24</v>
      </c>
      <c r="G77" t="s">
        <v>29</v>
      </c>
      <c r="H77" t="s">
        <v>17</v>
      </c>
      <c r="I77" t="s">
        <v>30</v>
      </c>
      <c r="J77">
        <v>46</v>
      </c>
      <c r="K77" t="s">
        <v>26</v>
      </c>
      <c r="L77">
        <v>0</v>
      </c>
      <c r="M77" t="s">
        <v>20</v>
      </c>
      <c r="N77" t="s">
        <v>67</v>
      </c>
      <c r="O77">
        <v>274</v>
      </c>
      <c r="P77">
        <v>87</v>
      </c>
    </row>
    <row r="78" spans="1:16" x14ac:dyDescent="0.3">
      <c r="A78" s="1">
        <v>43420</v>
      </c>
      <c r="B78" t="s">
        <v>12</v>
      </c>
      <c r="C78" t="s">
        <v>13</v>
      </c>
      <c r="D78" t="s">
        <v>14</v>
      </c>
      <c r="E78">
        <v>80</v>
      </c>
      <c r="F78" t="s">
        <v>28</v>
      </c>
      <c r="G78" t="s">
        <v>58</v>
      </c>
      <c r="H78" t="s">
        <v>25</v>
      </c>
      <c r="I78" t="s">
        <v>18</v>
      </c>
      <c r="J78">
        <v>41</v>
      </c>
      <c r="K78" t="s">
        <v>26</v>
      </c>
      <c r="L78">
        <v>0</v>
      </c>
      <c r="M78" t="s">
        <v>20</v>
      </c>
      <c r="N78" t="s">
        <v>49</v>
      </c>
      <c r="O78">
        <v>407</v>
      </c>
      <c r="P78">
        <v>34</v>
      </c>
    </row>
    <row r="79" spans="1:16" x14ac:dyDescent="0.3">
      <c r="A79" s="1">
        <v>43435</v>
      </c>
      <c r="B79" t="s">
        <v>34</v>
      </c>
      <c r="C79" t="s">
        <v>23</v>
      </c>
      <c r="D79" t="s">
        <v>14</v>
      </c>
      <c r="E79">
        <v>30</v>
      </c>
      <c r="F79" t="s">
        <v>15</v>
      </c>
      <c r="G79" t="s">
        <v>37</v>
      </c>
      <c r="H79" t="s">
        <v>17</v>
      </c>
      <c r="I79" t="s">
        <v>18</v>
      </c>
      <c r="J79">
        <v>21</v>
      </c>
      <c r="K79" t="s">
        <v>26</v>
      </c>
      <c r="L79">
        <v>0</v>
      </c>
      <c r="M79" t="s">
        <v>27</v>
      </c>
      <c r="N79" t="s">
        <v>64</v>
      </c>
      <c r="O79">
        <v>183</v>
      </c>
      <c r="P79">
        <v>48</v>
      </c>
    </row>
    <row r="80" spans="1:16" x14ac:dyDescent="0.3">
      <c r="A80" s="1">
        <v>43450</v>
      </c>
      <c r="B80" t="s">
        <v>12</v>
      </c>
      <c r="C80" t="s">
        <v>23</v>
      </c>
      <c r="D80" t="s">
        <v>14</v>
      </c>
      <c r="E80">
        <v>55</v>
      </c>
      <c r="F80" t="s">
        <v>28</v>
      </c>
      <c r="G80" t="s">
        <v>29</v>
      </c>
      <c r="H80" t="s">
        <v>25</v>
      </c>
      <c r="I80" t="s">
        <v>30</v>
      </c>
      <c r="J80">
        <v>26</v>
      </c>
      <c r="K80" t="s">
        <v>26</v>
      </c>
      <c r="L80">
        <v>0</v>
      </c>
      <c r="M80" t="s">
        <v>20</v>
      </c>
      <c r="N80" t="s">
        <v>63</v>
      </c>
      <c r="O80">
        <v>254</v>
      </c>
      <c r="P80">
        <v>96</v>
      </c>
    </row>
    <row r="81" spans="1:16" x14ac:dyDescent="0.3">
      <c r="A81" s="1">
        <v>43465</v>
      </c>
      <c r="B81" t="s">
        <v>34</v>
      </c>
      <c r="C81" t="s">
        <v>48</v>
      </c>
      <c r="D81" t="s">
        <v>32</v>
      </c>
      <c r="E81">
        <v>55</v>
      </c>
      <c r="F81" t="s">
        <v>15</v>
      </c>
      <c r="G81" t="s">
        <v>29</v>
      </c>
      <c r="H81" t="s">
        <v>17</v>
      </c>
      <c r="I81" t="s">
        <v>18</v>
      </c>
      <c r="J81" t="s">
        <v>38</v>
      </c>
      <c r="K81" t="s">
        <v>19</v>
      </c>
      <c r="L81">
        <v>0</v>
      </c>
      <c r="M81" t="s">
        <v>46</v>
      </c>
      <c r="N81" t="s">
        <v>42</v>
      </c>
      <c r="O81">
        <v>427</v>
      </c>
      <c r="P81">
        <v>89</v>
      </c>
    </row>
    <row r="82" spans="1:16" x14ac:dyDescent="0.3">
      <c r="A82" s="1">
        <v>43480</v>
      </c>
      <c r="B82" t="s">
        <v>34</v>
      </c>
      <c r="C82" t="s">
        <v>23</v>
      </c>
      <c r="D82" t="s">
        <v>14</v>
      </c>
      <c r="E82">
        <v>55</v>
      </c>
      <c r="F82" t="s">
        <v>15</v>
      </c>
      <c r="G82" t="s">
        <v>37</v>
      </c>
      <c r="H82" t="s">
        <v>25</v>
      </c>
      <c r="I82" t="s">
        <v>30</v>
      </c>
      <c r="J82">
        <v>36</v>
      </c>
      <c r="K82" t="s">
        <v>26</v>
      </c>
      <c r="L82">
        <v>1</v>
      </c>
      <c r="M82" t="s">
        <v>41</v>
      </c>
      <c r="N82" t="s">
        <v>51</v>
      </c>
      <c r="O82">
        <v>224</v>
      </c>
      <c r="P82">
        <v>73</v>
      </c>
    </row>
    <row r="83" spans="1:16" x14ac:dyDescent="0.3">
      <c r="A83" s="1">
        <v>43495</v>
      </c>
      <c r="B83" t="s">
        <v>34</v>
      </c>
      <c r="C83" t="s">
        <v>23</v>
      </c>
      <c r="D83" t="s">
        <v>32</v>
      </c>
      <c r="E83">
        <v>55</v>
      </c>
      <c r="F83" t="s">
        <v>15</v>
      </c>
      <c r="G83" t="s">
        <v>45</v>
      </c>
      <c r="H83" t="s">
        <v>17</v>
      </c>
      <c r="I83" t="s">
        <v>30</v>
      </c>
      <c r="J83" t="s">
        <v>38</v>
      </c>
      <c r="K83" t="s">
        <v>31</v>
      </c>
      <c r="L83">
        <v>1</v>
      </c>
      <c r="M83" t="s">
        <v>46</v>
      </c>
      <c r="N83" t="s">
        <v>42</v>
      </c>
      <c r="O83">
        <v>384</v>
      </c>
      <c r="P83">
        <v>99</v>
      </c>
    </row>
    <row r="84" spans="1:16" x14ac:dyDescent="0.3">
      <c r="A84" s="1">
        <v>43510</v>
      </c>
      <c r="B84" t="s">
        <v>22</v>
      </c>
      <c r="C84" t="s">
        <v>23</v>
      </c>
      <c r="D84" t="s">
        <v>14</v>
      </c>
      <c r="E84">
        <v>55</v>
      </c>
      <c r="F84" t="s">
        <v>24</v>
      </c>
      <c r="G84" t="s">
        <v>29</v>
      </c>
      <c r="H84" t="s">
        <v>25</v>
      </c>
      <c r="I84" t="s">
        <v>18</v>
      </c>
      <c r="J84" t="s">
        <v>61</v>
      </c>
      <c r="K84" t="s">
        <v>26</v>
      </c>
      <c r="L84">
        <v>0</v>
      </c>
      <c r="M84" t="s">
        <v>20</v>
      </c>
      <c r="N84" t="s">
        <v>21</v>
      </c>
      <c r="O84">
        <v>193</v>
      </c>
      <c r="P84">
        <v>67</v>
      </c>
    </row>
    <row r="85" spans="1:16" x14ac:dyDescent="0.3">
      <c r="A85" s="1">
        <v>43525</v>
      </c>
      <c r="B85" t="s">
        <v>12</v>
      </c>
      <c r="C85" t="s">
        <v>13</v>
      </c>
      <c r="D85" t="s">
        <v>32</v>
      </c>
      <c r="E85">
        <v>55</v>
      </c>
      <c r="F85" t="s">
        <v>15</v>
      </c>
      <c r="G85" t="s">
        <v>16</v>
      </c>
      <c r="H85" t="s">
        <v>25</v>
      </c>
      <c r="I85" t="s">
        <v>18</v>
      </c>
      <c r="J85">
        <v>26</v>
      </c>
      <c r="K85" t="s">
        <v>19</v>
      </c>
      <c r="L85">
        <v>0</v>
      </c>
      <c r="M85" t="s">
        <v>20</v>
      </c>
      <c r="N85" t="s">
        <v>36</v>
      </c>
      <c r="O85">
        <v>114</v>
      </c>
      <c r="P85">
        <v>51</v>
      </c>
    </row>
    <row r="86" spans="1:16" x14ac:dyDescent="0.3">
      <c r="A86" s="1">
        <v>43540</v>
      </c>
      <c r="B86" t="s">
        <v>22</v>
      </c>
      <c r="C86" t="s">
        <v>23</v>
      </c>
      <c r="D86" t="s">
        <v>14</v>
      </c>
      <c r="E86">
        <v>80</v>
      </c>
      <c r="F86" t="s">
        <v>24</v>
      </c>
      <c r="G86" t="s">
        <v>29</v>
      </c>
      <c r="H86" t="s">
        <v>25</v>
      </c>
      <c r="I86" t="s">
        <v>30</v>
      </c>
      <c r="J86" t="s">
        <v>38</v>
      </c>
      <c r="K86" t="s">
        <v>19</v>
      </c>
      <c r="L86">
        <v>1</v>
      </c>
      <c r="M86" t="s">
        <v>20</v>
      </c>
      <c r="N86" t="s">
        <v>54</v>
      </c>
      <c r="O86">
        <v>402</v>
      </c>
      <c r="P86">
        <v>75</v>
      </c>
    </row>
    <row r="87" spans="1:16" x14ac:dyDescent="0.3">
      <c r="A87" s="1">
        <v>43555</v>
      </c>
      <c r="B87" t="s">
        <v>12</v>
      </c>
      <c r="C87" t="s">
        <v>13</v>
      </c>
      <c r="D87" t="s">
        <v>32</v>
      </c>
      <c r="E87">
        <v>55</v>
      </c>
      <c r="F87" t="s">
        <v>44</v>
      </c>
      <c r="G87" t="s">
        <v>37</v>
      </c>
      <c r="H87" t="s">
        <v>25</v>
      </c>
      <c r="I87" t="s">
        <v>30</v>
      </c>
      <c r="J87" t="s">
        <v>38</v>
      </c>
      <c r="K87" t="s">
        <v>26</v>
      </c>
      <c r="L87">
        <v>1</v>
      </c>
      <c r="M87" t="s">
        <v>43</v>
      </c>
      <c r="N87" t="s">
        <v>42</v>
      </c>
      <c r="O87">
        <v>309</v>
      </c>
      <c r="P87">
        <v>79</v>
      </c>
    </row>
    <row r="88" spans="1:16" x14ac:dyDescent="0.3">
      <c r="A88" s="1">
        <v>43570</v>
      </c>
      <c r="B88" t="s">
        <v>12</v>
      </c>
      <c r="C88" t="s">
        <v>13</v>
      </c>
      <c r="D88" t="s">
        <v>14</v>
      </c>
      <c r="E88">
        <v>30</v>
      </c>
      <c r="F88" t="s">
        <v>44</v>
      </c>
      <c r="G88" t="s">
        <v>58</v>
      </c>
      <c r="H88" t="s">
        <v>17</v>
      </c>
      <c r="I88" t="s">
        <v>18</v>
      </c>
      <c r="J88">
        <v>26</v>
      </c>
      <c r="K88" t="s">
        <v>26</v>
      </c>
      <c r="L88">
        <v>0</v>
      </c>
      <c r="M88" t="s">
        <v>41</v>
      </c>
      <c r="N88" t="s">
        <v>39</v>
      </c>
      <c r="O88">
        <v>431</v>
      </c>
      <c r="P88">
        <v>54</v>
      </c>
    </row>
    <row r="89" spans="1:16" x14ac:dyDescent="0.3">
      <c r="A89" s="1">
        <v>43585</v>
      </c>
      <c r="B89" t="s">
        <v>12</v>
      </c>
      <c r="C89" t="s">
        <v>48</v>
      </c>
      <c r="D89" t="s">
        <v>14</v>
      </c>
      <c r="E89">
        <v>30</v>
      </c>
      <c r="F89" t="s">
        <v>28</v>
      </c>
      <c r="G89" t="s">
        <v>45</v>
      </c>
      <c r="H89" t="s">
        <v>17</v>
      </c>
      <c r="I89" t="s">
        <v>30</v>
      </c>
      <c r="J89">
        <v>26</v>
      </c>
      <c r="K89" t="s">
        <v>31</v>
      </c>
      <c r="L89">
        <v>0</v>
      </c>
      <c r="M89" t="s">
        <v>43</v>
      </c>
      <c r="N89" t="s">
        <v>36</v>
      </c>
      <c r="O89">
        <v>299</v>
      </c>
      <c r="P89">
        <v>69</v>
      </c>
    </row>
    <row r="90" spans="1:16" x14ac:dyDescent="0.3">
      <c r="A90" s="1">
        <v>43600</v>
      </c>
      <c r="B90" t="s">
        <v>22</v>
      </c>
      <c r="C90" t="s">
        <v>23</v>
      </c>
      <c r="D90" t="s">
        <v>14</v>
      </c>
      <c r="E90">
        <v>80</v>
      </c>
      <c r="F90" t="s">
        <v>24</v>
      </c>
      <c r="G90" t="s">
        <v>37</v>
      </c>
      <c r="H90" t="s">
        <v>17</v>
      </c>
      <c r="I90" t="s">
        <v>30</v>
      </c>
      <c r="J90" t="s">
        <v>38</v>
      </c>
      <c r="K90" t="s">
        <v>31</v>
      </c>
      <c r="L90">
        <v>1</v>
      </c>
      <c r="M90" t="s">
        <v>20</v>
      </c>
      <c r="N90" t="s">
        <v>51</v>
      </c>
      <c r="O90">
        <v>201</v>
      </c>
      <c r="P90">
        <v>91</v>
      </c>
    </row>
    <row r="91" spans="1:16" x14ac:dyDescent="0.3">
      <c r="A91" s="1">
        <v>43615</v>
      </c>
      <c r="B91" t="s">
        <v>22</v>
      </c>
      <c r="C91" t="s">
        <v>23</v>
      </c>
      <c r="D91" t="s">
        <v>32</v>
      </c>
      <c r="E91">
        <v>55</v>
      </c>
      <c r="F91" t="s">
        <v>24</v>
      </c>
      <c r="G91" t="s">
        <v>45</v>
      </c>
      <c r="H91" t="s">
        <v>17</v>
      </c>
      <c r="I91" t="s">
        <v>30</v>
      </c>
      <c r="J91">
        <v>36</v>
      </c>
      <c r="K91" t="s">
        <v>40</v>
      </c>
      <c r="L91">
        <v>1</v>
      </c>
      <c r="M91" t="s">
        <v>27</v>
      </c>
      <c r="N91" t="s">
        <v>49</v>
      </c>
      <c r="O91">
        <v>318</v>
      </c>
      <c r="P91">
        <v>92</v>
      </c>
    </row>
    <row r="92" spans="1:16" x14ac:dyDescent="0.3">
      <c r="A92" s="1">
        <v>43630</v>
      </c>
      <c r="B92" t="s">
        <v>12</v>
      </c>
      <c r="C92" t="s">
        <v>13</v>
      </c>
      <c r="D92" t="s">
        <v>14</v>
      </c>
      <c r="E92">
        <v>80</v>
      </c>
      <c r="F92" t="s">
        <v>44</v>
      </c>
      <c r="G92" t="s">
        <v>45</v>
      </c>
      <c r="H92" t="s">
        <v>17</v>
      </c>
      <c r="I92" t="s">
        <v>30</v>
      </c>
      <c r="J92" t="s">
        <v>38</v>
      </c>
      <c r="K92" t="s">
        <v>69</v>
      </c>
      <c r="L92">
        <v>1</v>
      </c>
      <c r="M92" t="s">
        <v>43</v>
      </c>
      <c r="N92" t="s">
        <v>39</v>
      </c>
      <c r="O92">
        <v>360</v>
      </c>
      <c r="P92">
        <v>75</v>
      </c>
    </row>
    <row r="93" spans="1:16" x14ac:dyDescent="0.3">
      <c r="A93" s="1">
        <v>43645</v>
      </c>
      <c r="B93" t="s">
        <v>12</v>
      </c>
      <c r="C93" t="s">
        <v>13</v>
      </c>
      <c r="D93" t="s">
        <v>14</v>
      </c>
      <c r="E93">
        <v>80</v>
      </c>
      <c r="F93" t="s">
        <v>28</v>
      </c>
      <c r="G93" t="s">
        <v>29</v>
      </c>
      <c r="H93" t="s">
        <v>25</v>
      </c>
      <c r="I93" t="s">
        <v>30</v>
      </c>
      <c r="J93" t="s">
        <v>38</v>
      </c>
      <c r="K93" t="s">
        <v>31</v>
      </c>
      <c r="L93">
        <v>1</v>
      </c>
      <c r="M93" t="s">
        <v>43</v>
      </c>
      <c r="N93" t="s">
        <v>64</v>
      </c>
      <c r="O93">
        <v>221</v>
      </c>
      <c r="P93">
        <v>65</v>
      </c>
    </row>
    <row r="94" spans="1:16" x14ac:dyDescent="0.3">
      <c r="A94" s="1">
        <v>43660</v>
      </c>
      <c r="B94" t="s">
        <v>12</v>
      </c>
      <c r="C94" t="s">
        <v>13</v>
      </c>
      <c r="D94" t="s">
        <v>14</v>
      </c>
      <c r="E94">
        <v>30</v>
      </c>
      <c r="F94" t="s">
        <v>44</v>
      </c>
      <c r="G94" t="s">
        <v>58</v>
      </c>
      <c r="H94" t="s">
        <v>17</v>
      </c>
      <c r="I94" t="s">
        <v>18</v>
      </c>
      <c r="J94">
        <v>36</v>
      </c>
      <c r="K94" t="s">
        <v>26</v>
      </c>
      <c r="L94">
        <v>0</v>
      </c>
      <c r="M94" t="s">
        <v>41</v>
      </c>
      <c r="N94" t="s">
        <v>36</v>
      </c>
      <c r="O94">
        <v>371</v>
      </c>
      <c r="P94">
        <v>83</v>
      </c>
    </row>
    <row r="95" spans="1:16" x14ac:dyDescent="0.3">
      <c r="A95" s="1">
        <v>43675</v>
      </c>
      <c r="B95" t="s">
        <v>34</v>
      </c>
      <c r="C95" t="s">
        <v>23</v>
      </c>
      <c r="D95" t="s">
        <v>32</v>
      </c>
      <c r="E95">
        <v>55</v>
      </c>
      <c r="F95" t="s">
        <v>15</v>
      </c>
      <c r="G95" t="s">
        <v>45</v>
      </c>
      <c r="H95" t="s">
        <v>17</v>
      </c>
      <c r="I95" t="s">
        <v>18</v>
      </c>
      <c r="J95" t="s">
        <v>61</v>
      </c>
      <c r="K95" t="s">
        <v>26</v>
      </c>
      <c r="L95">
        <v>0</v>
      </c>
      <c r="M95" t="s">
        <v>20</v>
      </c>
      <c r="N95" t="s">
        <v>21</v>
      </c>
      <c r="O95">
        <v>157</v>
      </c>
      <c r="P95">
        <v>95</v>
      </c>
    </row>
    <row r="96" spans="1:16" x14ac:dyDescent="0.3">
      <c r="A96" s="1">
        <v>43690</v>
      </c>
      <c r="B96" t="s">
        <v>12</v>
      </c>
      <c r="C96" t="s">
        <v>48</v>
      </c>
      <c r="D96" t="s">
        <v>14</v>
      </c>
      <c r="E96">
        <v>80</v>
      </c>
      <c r="F96" t="s">
        <v>15</v>
      </c>
      <c r="G96" t="s">
        <v>45</v>
      </c>
      <c r="H96" t="s">
        <v>25</v>
      </c>
      <c r="I96" t="s">
        <v>18</v>
      </c>
      <c r="J96">
        <v>21</v>
      </c>
      <c r="K96" t="s">
        <v>19</v>
      </c>
      <c r="L96">
        <v>0</v>
      </c>
      <c r="M96" t="s">
        <v>27</v>
      </c>
      <c r="N96" t="s">
        <v>51</v>
      </c>
      <c r="O96">
        <v>196</v>
      </c>
      <c r="P96">
        <v>55</v>
      </c>
    </row>
    <row r="97" spans="1:16" x14ac:dyDescent="0.3">
      <c r="A97" s="1">
        <v>43705</v>
      </c>
      <c r="B97" t="s">
        <v>22</v>
      </c>
      <c r="C97" t="s">
        <v>23</v>
      </c>
      <c r="D97" t="s">
        <v>14</v>
      </c>
      <c r="E97">
        <v>55</v>
      </c>
      <c r="F97" t="s">
        <v>24</v>
      </c>
      <c r="G97" t="s">
        <v>29</v>
      </c>
      <c r="H97" t="s">
        <v>17</v>
      </c>
      <c r="I97" t="s">
        <v>18</v>
      </c>
      <c r="J97">
        <v>31</v>
      </c>
      <c r="K97" t="s">
        <v>31</v>
      </c>
      <c r="L97">
        <v>0</v>
      </c>
      <c r="M97" t="s">
        <v>27</v>
      </c>
      <c r="N97" t="s">
        <v>54</v>
      </c>
      <c r="O97">
        <v>260</v>
      </c>
      <c r="P97">
        <v>48</v>
      </c>
    </row>
    <row r="98" spans="1:16" x14ac:dyDescent="0.3">
      <c r="A98" s="1">
        <v>43720</v>
      </c>
      <c r="B98" t="s">
        <v>12</v>
      </c>
      <c r="C98" t="s">
        <v>13</v>
      </c>
      <c r="D98" t="s">
        <v>14</v>
      </c>
      <c r="E98">
        <v>80</v>
      </c>
      <c r="F98" t="s">
        <v>44</v>
      </c>
      <c r="G98" t="s">
        <v>29</v>
      </c>
      <c r="H98" t="s">
        <v>17</v>
      </c>
      <c r="I98" t="s">
        <v>30</v>
      </c>
      <c r="J98">
        <v>31</v>
      </c>
      <c r="K98" t="s">
        <v>31</v>
      </c>
      <c r="L98">
        <v>1</v>
      </c>
      <c r="M98" t="s">
        <v>41</v>
      </c>
      <c r="N98" t="s">
        <v>21</v>
      </c>
      <c r="O98">
        <v>146</v>
      </c>
      <c r="P98">
        <v>100</v>
      </c>
    </row>
    <row r="99" spans="1:16" x14ac:dyDescent="0.3">
      <c r="A99" s="1">
        <v>43735</v>
      </c>
      <c r="B99" t="s">
        <v>12</v>
      </c>
      <c r="C99" t="s">
        <v>53</v>
      </c>
      <c r="D99" t="s">
        <v>14</v>
      </c>
      <c r="E99">
        <v>80</v>
      </c>
      <c r="F99" t="s">
        <v>44</v>
      </c>
      <c r="G99" t="s">
        <v>37</v>
      </c>
      <c r="H99" t="s">
        <v>17</v>
      </c>
      <c r="I99" t="s">
        <v>30</v>
      </c>
      <c r="J99">
        <v>26</v>
      </c>
      <c r="K99" t="s">
        <v>31</v>
      </c>
      <c r="L99">
        <v>1</v>
      </c>
      <c r="M99" t="s">
        <v>20</v>
      </c>
      <c r="N99" t="s">
        <v>36</v>
      </c>
      <c r="O99">
        <v>111</v>
      </c>
      <c r="P99">
        <v>41</v>
      </c>
    </row>
    <row r="100" spans="1:16" x14ac:dyDescent="0.3">
      <c r="A100" s="1">
        <v>43750</v>
      </c>
      <c r="B100" t="s">
        <v>12</v>
      </c>
      <c r="C100" t="s">
        <v>48</v>
      </c>
      <c r="D100" t="s">
        <v>14</v>
      </c>
      <c r="E100">
        <v>80</v>
      </c>
      <c r="F100" t="s">
        <v>15</v>
      </c>
      <c r="G100" t="s">
        <v>45</v>
      </c>
      <c r="H100" t="s">
        <v>25</v>
      </c>
      <c r="I100" t="s">
        <v>30</v>
      </c>
      <c r="J100">
        <v>31</v>
      </c>
      <c r="K100" t="s">
        <v>31</v>
      </c>
      <c r="L100">
        <v>0</v>
      </c>
      <c r="M100" t="s">
        <v>20</v>
      </c>
      <c r="N100" t="s">
        <v>33</v>
      </c>
      <c r="O100">
        <v>196</v>
      </c>
      <c r="P100">
        <v>87</v>
      </c>
    </row>
    <row r="101" spans="1:16" x14ac:dyDescent="0.3">
      <c r="A101" s="1">
        <v>43765</v>
      </c>
      <c r="B101" t="s">
        <v>34</v>
      </c>
      <c r="C101" t="s">
        <v>23</v>
      </c>
      <c r="D101" t="s">
        <v>14</v>
      </c>
      <c r="E101">
        <v>80</v>
      </c>
      <c r="F101" t="s">
        <v>15</v>
      </c>
      <c r="G101" t="s">
        <v>58</v>
      </c>
      <c r="H101" t="s">
        <v>17</v>
      </c>
      <c r="I101" t="s">
        <v>30</v>
      </c>
      <c r="J101" t="s">
        <v>38</v>
      </c>
      <c r="K101" t="s">
        <v>31</v>
      </c>
      <c r="L101">
        <v>1</v>
      </c>
      <c r="M101" t="s">
        <v>27</v>
      </c>
      <c r="N101" t="s">
        <v>51</v>
      </c>
      <c r="O101">
        <v>287</v>
      </c>
      <c r="P101">
        <v>89</v>
      </c>
    </row>
    <row r="102" spans="1:16" x14ac:dyDescent="0.3">
      <c r="A102" s="1">
        <v>43780</v>
      </c>
      <c r="B102" t="s">
        <v>12</v>
      </c>
      <c r="C102" t="s">
        <v>23</v>
      </c>
      <c r="D102" t="s">
        <v>14</v>
      </c>
      <c r="E102">
        <v>55</v>
      </c>
      <c r="F102" t="s">
        <v>15</v>
      </c>
      <c r="G102" t="s">
        <v>29</v>
      </c>
      <c r="H102" t="s">
        <v>25</v>
      </c>
      <c r="I102" t="s">
        <v>18</v>
      </c>
      <c r="J102">
        <v>21</v>
      </c>
      <c r="K102" t="s">
        <v>26</v>
      </c>
      <c r="L102">
        <v>0</v>
      </c>
      <c r="M102" t="s">
        <v>27</v>
      </c>
      <c r="N102" t="s">
        <v>36</v>
      </c>
      <c r="O102">
        <v>204</v>
      </c>
      <c r="P102">
        <v>71</v>
      </c>
    </row>
    <row r="103" spans="1:16" x14ac:dyDescent="0.3">
      <c r="A103" s="1">
        <v>43795</v>
      </c>
      <c r="B103" t="s">
        <v>12</v>
      </c>
      <c r="C103" t="s">
        <v>48</v>
      </c>
      <c r="D103" t="s">
        <v>14</v>
      </c>
      <c r="E103">
        <v>80</v>
      </c>
      <c r="F103" t="s">
        <v>28</v>
      </c>
      <c r="G103" t="s">
        <v>29</v>
      </c>
      <c r="H103" t="s">
        <v>17</v>
      </c>
      <c r="I103" t="s">
        <v>18</v>
      </c>
      <c r="J103">
        <v>21</v>
      </c>
      <c r="K103" t="s">
        <v>19</v>
      </c>
      <c r="L103">
        <v>0</v>
      </c>
      <c r="M103" t="s">
        <v>20</v>
      </c>
      <c r="N103" t="s">
        <v>51</v>
      </c>
      <c r="O103">
        <v>275</v>
      </c>
      <c r="P103">
        <v>71</v>
      </c>
    </row>
    <row r="104" spans="1:16" x14ac:dyDescent="0.3">
      <c r="A104" s="1">
        <v>43810</v>
      </c>
      <c r="B104" t="s">
        <v>22</v>
      </c>
      <c r="C104" t="s">
        <v>23</v>
      </c>
      <c r="D104" t="s">
        <v>14</v>
      </c>
      <c r="E104">
        <v>80</v>
      </c>
      <c r="F104" t="s">
        <v>24</v>
      </c>
      <c r="G104" t="s">
        <v>37</v>
      </c>
      <c r="H104" t="s">
        <v>25</v>
      </c>
      <c r="I104" t="s">
        <v>30</v>
      </c>
      <c r="J104">
        <v>31</v>
      </c>
      <c r="K104" t="s">
        <v>31</v>
      </c>
      <c r="L104">
        <v>1</v>
      </c>
      <c r="M104" t="s">
        <v>27</v>
      </c>
      <c r="N104" t="s">
        <v>21</v>
      </c>
      <c r="O104">
        <v>215</v>
      </c>
      <c r="P104">
        <v>92</v>
      </c>
    </row>
    <row r="105" spans="1:16" x14ac:dyDescent="0.3">
      <c r="A105" s="1">
        <v>43825</v>
      </c>
      <c r="B105" t="s">
        <v>12</v>
      </c>
      <c r="C105" t="s">
        <v>53</v>
      </c>
      <c r="D105" t="s">
        <v>14</v>
      </c>
      <c r="E105">
        <v>80</v>
      </c>
      <c r="F105" t="s">
        <v>28</v>
      </c>
      <c r="G105" t="s">
        <v>45</v>
      </c>
      <c r="H105" t="s">
        <v>17</v>
      </c>
      <c r="I105" t="s">
        <v>30</v>
      </c>
      <c r="J105">
        <v>31</v>
      </c>
      <c r="K105" t="s">
        <v>31</v>
      </c>
      <c r="L105">
        <v>1</v>
      </c>
      <c r="M105" t="s">
        <v>27</v>
      </c>
      <c r="N105" t="s">
        <v>49</v>
      </c>
      <c r="O105">
        <v>210</v>
      </c>
      <c r="P105">
        <v>83</v>
      </c>
    </row>
    <row r="106" spans="1:16" x14ac:dyDescent="0.3">
      <c r="A106" s="1">
        <v>43840</v>
      </c>
      <c r="B106" t="s">
        <v>12</v>
      </c>
      <c r="C106" t="s">
        <v>53</v>
      </c>
      <c r="D106" t="s">
        <v>14</v>
      </c>
      <c r="E106">
        <v>80</v>
      </c>
      <c r="F106" t="s">
        <v>28</v>
      </c>
      <c r="G106" t="s">
        <v>45</v>
      </c>
      <c r="H106" t="s">
        <v>25</v>
      </c>
      <c r="I106" t="s">
        <v>30</v>
      </c>
      <c r="J106">
        <v>31</v>
      </c>
      <c r="K106" t="s">
        <v>31</v>
      </c>
      <c r="L106">
        <v>1</v>
      </c>
      <c r="M106" t="s">
        <v>20</v>
      </c>
      <c r="N106" t="s">
        <v>52</v>
      </c>
      <c r="O106">
        <v>339</v>
      </c>
      <c r="P106">
        <v>63</v>
      </c>
    </row>
    <row r="107" spans="1:16" x14ac:dyDescent="0.3">
      <c r="A107" s="1">
        <v>43855</v>
      </c>
      <c r="B107" t="s">
        <v>12</v>
      </c>
      <c r="C107" t="s">
        <v>23</v>
      </c>
      <c r="D107" t="s">
        <v>14</v>
      </c>
      <c r="E107">
        <v>55</v>
      </c>
      <c r="F107" t="s">
        <v>28</v>
      </c>
      <c r="G107" t="s">
        <v>29</v>
      </c>
      <c r="H107" t="s">
        <v>25</v>
      </c>
      <c r="I107" t="s">
        <v>30</v>
      </c>
      <c r="J107" t="s">
        <v>61</v>
      </c>
      <c r="K107" t="s">
        <v>26</v>
      </c>
      <c r="L107">
        <v>0</v>
      </c>
      <c r="M107" t="s">
        <v>20</v>
      </c>
      <c r="N107" t="s">
        <v>21</v>
      </c>
      <c r="O107">
        <v>173</v>
      </c>
      <c r="P107">
        <v>94</v>
      </c>
    </row>
    <row r="108" spans="1:16" x14ac:dyDescent="0.3">
      <c r="A108" s="1">
        <v>43870</v>
      </c>
      <c r="B108" t="s">
        <v>22</v>
      </c>
      <c r="C108" t="s">
        <v>23</v>
      </c>
      <c r="D108" t="s">
        <v>32</v>
      </c>
      <c r="E108">
        <v>55</v>
      </c>
      <c r="F108" t="s">
        <v>24</v>
      </c>
      <c r="G108" t="s">
        <v>45</v>
      </c>
      <c r="H108" t="s">
        <v>17</v>
      </c>
      <c r="I108" t="s">
        <v>18</v>
      </c>
      <c r="J108">
        <v>26</v>
      </c>
      <c r="K108" t="s">
        <v>31</v>
      </c>
      <c r="L108">
        <v>1</v>
      </c>
      <c r="M108" t="s">
        <v>27</v>
      </c>
      <c r="N108" t="s">
        <v>54</v>
      </c>
      <c r="O108">
        <v>373</v>
      </c>
      <c r="P108">
        <v>52</v>
      </c>
    </row>
    <row r="109" spans="1:16" x14ac:dyDescent="0.3">
      <c r="A109" s="1">
        <v>43885</v>
      </c>
      <c r="B109" t="s">
        <v>12</v>
      </c>
      <c r="C109" t="s">
        <v>53</v>
      </c>
      <c r="D109" t="s">
        <v>14</v>
      </c>
      <c r="E109">
        <v>80</v>
      </c>
      <c r="F109" t="s">
        <v>28</v>
      </c>
      <c r="G109" t="s">
        <v>58</v>
      </c>
      <c r="H109" t="s">
        <v>17</v>
      </c>
      <c r="I109" t="s">
        <v>18</v>
      </c>
      <c r="J109">
        <v>21</v>
      </c>
      <c r="K109" t="s">
        <v>26</v>
      </c>
      <c r="L109">
        <v>0</v>
      </c>
      <c r="M109" t="s">
        <v>27</v>
      </c>
      <c r="N109" t="s">
        <v>33</v>
      </c>
      <c r="O109">
        <v>442</v>
      </c>
      <c r="P109">
        <v>43</v>
      </c>
    </row>
    <row r="110" spans="1:16" x14ac:dyDescent="0.3">
      <c r="A110" s="1">
        <v>43900</v>
      </c>
      <c r="B110" t="s">
        <v>34</v>
      </c>
      <c r="C110" t="s">
        <v>23</v>
      </c>
      <c r="D110" t="s">
        <v>14</v>
      </c>
      <c r="E110">
        <v>80</v>
      </c>
      <c r="F110" t="s">
        <v>44</v>
      </c>
      <c r="G110" t="s">
        <v>16</v>
      </c>
      <c r="H110" t="s">
        <v>25</v>
      </c>
      <c r="I110" t="s">
        <v>30</v>
      </c>
      <c r="J110">
        <v>26</v>
      </c>
      <c r="K110" t="s">
        <v>19</v>
      </c>
      <c r="L110">
        <v>0</v>
      </c>
      <c r="M110" t="s">
        <v>43</v>
      </c>
      <c r="N110" t="s">
        <v>63</v>
      </c>
      <c r="O110">
        <v>129</v>
      </c>
      <c r="P110">
        <v>62</v>
      </c>
    </row>
    <row r="111" spans="1:16" x14ac:dyDescent="0.3">
      <c r="A111" s="1">
        <v>43915</v>
      </c>
      <c r="B111" t="s">
        <v>34</v>
      </c>
      <c r="C111" t="s">
        <v>23</v>
      </c>
      <c r="D111" t="s">
        <v>14</v>
      </c>
      <c r="E111">
        <v>80</v>
      </c>
      <c r="F111" t="s">
        <v>15</v>
      </c>
      <c r="G111" t="s">
        <v>16</v>
      </c>
      <c r="H111" t="s">
        <v>17</v>
      </c>
      <c r="I111" t="s">
        <v>30</v>
      </c>
      <c r="J111">
        <v>26</v>
      </c>
      <c r="K111" t="s">
        <v>31</v>
      </c>
      <c r="L111">
        <v>1</v>
      </c>
      <c r="M111" t="s">
        <v>20</v>
      </c>
      <c r="N111" t="s">
        <v>36</v>
      </c>
      <c r="O111">
        <v>483</v>
      </c>
      <c r="P111">
        <v>62</v>
      </c>
    </row>
    <row r="112" spans="1:16" x14ac:dyDescent="0.3">
      <c r="A112" s="1">
        <v>43930</v>
      </c>
      <c r="B112" t="s">
        <v>22</v>
      </c>
      <c r="C112" t="s">
        <v>23</v>
      </c>
      <c r="D112" t="s">
        <v>14</v>
      </c>
      <c r="E112">
        <v>80</v>
      </c>
      <c r="F112" t="s">
        <v>24</v>
      </c>
      <c r="G112" t="s">
        <v>58</v>
      </c>
      <c r="H112" t="s">
        <v>17</v>
      </c>
      <c r="I112" t="s">
        <v>18</v>
      </c>
      <c r="J112">
        <v>31</v>
      </c>
      <c r="K112" t="s">
        <v>31</v>
      </c>
      <c r="L112">
        <v>0</v>
      </c>
      <c r="M112" t="s">
        <v>27</v>
      </c>
      <c r="N112" t="s">
        <v>54</v>
      </c>
      <c r="O112">
        <v>428</v>
      </c>
      <c r="P112">
        <v>93</v>
      </c>
    </row>
    <row r="113" spans="1:16" x14ac:dyDescent="0.3">
      <c r="A113" s="1">
        <v>43945</v>
      </c>
      <c r="B113" t="s">
        <v>12</v>
      </c>
      <c r="C113" t="s">
        <v>53</v>
      </c>
      <c r="D113" t="s">
        <v>14</v>
      </c>
      <c r="E113">
        <v>80</v>
      </c>
      <c r="F113" t="s">
        <v>28</v>
      </c>
      <c r="G113" t="s">
        <v>45</v>
      </c>
      <c r="H113" t="s">
        <v>17</v>
      </c>
      <c r="I113" t="s">
        <v>30</v>
      </c>
      <c r="J113">
        <v>36</v>
      </c>
      <c r="K113" t="s">
        <v>31</v>
      </c>
      <c r="L113">
        <v>1</v>
      </c>
      <c r="M113" t="s">
        <v>27</v>
      </c>
      <c r="N113" t="s">
        <v>51</v>
      </c>
      <c r="O113">
        <v>171</v>
      </c>
      <c r="P113">
        <v>91</v>
      </c>
    </row>
    <row r="114" spans="1:16" x14ac:dyDescent="0.3">
      <c r="A114" s="1">
        <v>43960</v>
      </c>
      <c r="B114" t="s">
        <v>12</v>
      </c>
      <c r="C114" t="s">
        <v>48</v>
      </c>
      <c r="D114" t="s">
        <v>14</v>
      </c>
      <c r="E114">
        <v>80</v>
      </c>
      <c r="F114" t="s">
        <v>15</v>
      </c>
      <c r="G114" t="s">
        <v>16</v>
      </c>
      <c r="H114" t="s">
        <v>25</v>
      </c>
      <c r="I114" t="s">
        <v>18</v>
      </c>
      <c r="J114">
        <v>26</v>
      </c>
      <c r="K114" t="s">
        <v>19</v>
      </c>
      <c r="L114">
        <v>0</v>
      </c>
      <c r="M114" t="s">
        <v>20</v>
      </c>
      <c r="N114" t="s">
        <v>49</v>
      </c>
      <c r="O114">
        <v>348</v>
      </c>
      <c r="P114">
        <v>38</v>
      </c>
    </row>
    <row r="115" spans="1:16" x14ac:dyDescent="0.3">
      <c r="A115" s="1">
        <v>43975</v>
      </c>
      <c r="B115" t="s">
        <v>12</v>
      </c>
      <c r="C115" t="s">
        <v>13</v>
      </c>
      <c r="D115" t="s">
        <v>32</v>
      </c>
      <c r="E115">
        <v>55</v>
      </c>
      <c r="F115" t="s">
        <v>44</v>
      </c>
      <c r="G115" t="s">
        <v>45</v>
      </c>
      <c r="H115" t="s">
        <v>25</v>
      </c>
      <c r="I115" t="s">
        <v>18</v>
      </c>
      <c r="J115">
        <v>21</v>
      </c>
      <c r="K115" t="s">
        <v>19</v>
      </c>
      <c r="L115">
        <v>0</v>
      </c>
      <c r="M115" t="s">
        <v>20</v>
      </c>
      <c r="N115" t="s">
        <v>49</v>
      </c>
      <c r="O115">
        <v>344</v>
      </c>
      <c r="P115">
        <v>39</v>
      </c>
    </row>
    <row r="116" spans="1:16" x14ac:dyDescent="0.3">
      <c r="A116" s="1">
        <v>43990</v>
      </c>
      <c r="B116" t="s">
        <v>12</v>
      </c>
      <c r="C116" t="s">
        <v>23</v>
      </c>
      <c r="D116" t="s">
        <v>35</v>
      </c>
      <c r="E116">
        <v>30</v>
      </c>
      <c r="F116" t="s">
        <v>56</v>
      </c>
      <c r="G116" t="s">
        <v>45</v>
      </c>
      <c r="H116" t="s">
        <v>17</v>
      </c>
      <c r="I116" t="s">
        <v>18</v>
      </c>
      <c r="J116">
        <v>31</v>
      </c>
      <c r="K116" t="s">
        <v>31</v>
      </c>
      <c r="L116">
        <v>1</v>
      </c>
      <c r="M116" t="s">
        <v>27</v>
      </c>
      <c r="N116" t="s">
        <v>33</v>
      </c>
      <c r="O116">
        <v>479</v>
      </c>
      <c r="P116">
        <v>76</v>
      </c>
    </row>
    <row r="117" spans="1:16" x14ac:dyDescent="0.3">
      <c r="A117" s="1">
        <v>44005</v>
      </c>
      <c r="B117" t="s">
        <v>12</v>
      </c>
      <c r="C117" t="s">
        <v>13</v>
      </c>
      <c r="D117" t="s">
        <v>14</v>
      </c>
      <c r="E117">
        <v>80</v>
      </c>
      <c r="F117" t="s">
        <v>28</v>
      </c>
      <c r="G117" t="s">
        <v>58</v>
      </c>
      <c r="H117" t="s">
        <v>25</v>
      </c>
      <c r="I117" t="s">
        <v>18</v>
      </c>
      <c r="J117">
        <v>26</v>
      </c>
      <c r="K117" t="s">
        <v>31</v>
      </c>
      <c r="L117">
        <v>1</v>
      </c>
      <c r="M117" t="s">
        <v>27</v>
      </c>
      <c r="N117" t="s">
        <v>33</v>
      </c>
      <c r="O117">
        <v>171</v>
      </c>
      <c r="P117">
        <v>91</v>
      </c>
    </row>
    <row r="118" spans="1:16" x14ac:dyDescent="0.3">
      <c r="A118" s="1">
        <v>44020</v>
      </c>
      <c r="B118" t="s">
        <v>12</v>
      </c>
      <c r="C118" t="s">
        <v>13</v>
      </c>
      <c r="D118" t="s">
        <v>35</v>
      </c>
      <c r="E118">
        <v>30</v>
      </c>
      <c r="F118" t="s">
        <v>44</v>
      </c>
      <c r="G118" t="s">
        <v>58</v>
      </c>
      <c r="H118" t="s">
        <v>17</v>
      </c>
      <c r="I118" t="s">
        <v>30</v>
      </c>
      <c r="J118">
        <v>41</v>
      </c>
      <c r="K118" t="s">
        <v>31</v>
      </c>
      <c r="L118">
        <v>1</v>
      </c>
      <c r="M118" t="s">
        <v>41</v>
      </c>
      <c r="N118" t="s">
        <v>33</v>
      </c>
      <c r="O118">
        <v>260</v>
      </c>
      <c r="P118">
        <v>80</v>
      </c>
    </row>
    <row r="119" spans="1:16" x14ac:dyDescent="0.3">
      <c r="A119" s="1">
        <v>44035</v>
      </c>
      <c r="B119" t="s">
        <v>22</v>
      </c>
      <c r="C119" t="s">
        <v>23</v>
      </c>
      <c r="D119" t="s">
        <v>14</v>
      </c>
      <c r="E119">
        <v>55</v>
      </c>
      <c r="F119" t="s">
        <v>24</v>
      </c>
      <c r="G119" t="s">
        <v>16</v>
      </c>
      <c r="H119" t="s">
        <v>17</v>
      </c>
      <c r="I119" t="s">
        <v>30</v>
      </c>
      <c r="J119">
        <v>21</v>
      </c>
      <c r="K119" t="s">
        <v>19</v>
      </c>
      <c r="L119">
        <v>0</v>
      </c>
      <c r="M119" t="s">
        <v>41</v>
      </c>
      <c r="N119" t="s">
        <v>21</v>
      </c>
      <c r="O119">
        <v>419</v>
      </c>
      <c r="P119">
        <v>78</v>
      </c>
    </row>
    <row r="120" spans="1:16" x14ac:dyDescent="0.3">
      <c r="A120" s="1">
        <v>44050</v>
      </c>
      <c r="B120" t="s">
        <v>34</v>
      </c>
      <c r="C120" t="s">
        <v>23</v>
      </c>
      <c r="D120" t="s">
        <v>32</v>
      </c>
      <c r="E120">
        <v>55</v>
      </c>
      <c r="F120" t="s">
        <v>44</v>
      </c>
      <c r="G120" t="s">
        <v>29</v>
      </c>
      <c r="H120" t="s">
        <v>25</v>
      </c>
      <c r="I120" t="s">
        <v>30</v>
      </c>
      <c r="J120" t="s">
        <v>38</v>
      </c>
      <c r="K120" t="s">
        <v>69</v>
      </c>
      <c r="L120">
        <v>1</v>
      </c>
      <c r="M120" t="s">
        <v>43</v>
      </c>
      <c r="N120" t="s">
        <v>39</v>
      </c>
      <c r="O120">
        <v>363</v>
      </c>
      <c r="P120">
        <v>37</v>
      </c>
    </row>
    <row r="121" spans="1:16" x14ac:dyDescent="0.3">
      <c r="A121" s="1">
        <v>44065</v>
      </c>
      <c r="B121" t="s">
        <v>12</v>
      </c>
      <c r="C121" t="s">
        <v>23</v>
      </c>
      <c r="D121" t="s">
        <v>14</v>
      </c>
      <c r="E121">
        <v>55</v>
      </c>
      <c r="F121" t="s">
        <v>56</v>
      </c>
      <c r="G121" t="s">
        <v>16</v>
      </c>
      <c r="H121" t="s">
        <v>17</v>
      </c>
      <c r="I121" t="s">
        <v>30</v>
      </c>
      <c r="J121">
        <v>31</v>
      </c>
      <c r="K121" t="s">
        <v>40</v>
      </c>
      <c r="L121">
        <v>1</v>
      </c>
      <c r="M121" t="s">
        <v>46</v>
      </c>
      <c r="N121" t="s">
        <v>62</v>
      </c>
      <c r="O121">
        <v>107</v>
      </c>
      <c r="P121">
        <v>55</v>
      </c>
    </row>
    <row r="122" spans="1:16" x14ac:dyDescent="0.3">
      <c r="A122" s="1">
        <v>44080</v>
      </c>
      <c r="B122" t="s">
        <v>34</v>
      </c>
      <c r="C122" t="s">
        <v>48</v>
      </c>
      <c r="D122" t="s">
        <v>14</v>
      </c>
      <c r="E122">
        <v>30</v>
      </c>
      <c r="F122" t="s">
        <v>44</v>
      </c>
      <c r="G122" t="s">
        <v>58</v>
      </c>
      <c r="H122" t="s">
        <v>25</v>
      </c>
      <c r="I122" t="s">
        <v>18</v>
      </c>
      <c r="J122">
        <v>36</v>
      </c>
      <c r="K122" t="s">
        <v>19</v>
      </c>
      <c r="L122">
        <v>1</v>
      </c>
      <c r="M122" t="s">
        <v>20</v>
      </c>
      <c r="N122" t="s">
        <v>68</v>
      </c>
      <c r="O122">
        <v>262</v>
      </c>
      <c r="P122">
        <v>63</v>
      </c>
    </row>
    <row r="123" spans="1:16" x14ac:dyDescent="0.3">
      <c r="A123" s="1">
        <v>44095</v>
      </c>
      <c r="B123" t="s">
        <v>12</v>
      </c>
      <c r="C123" t="s">
        <v>13</v>
      </c>
      <c r="D123" t="s">
        <v>14</v>
      </c>
      <c r="E123">
        <v>80</v>
      </c>
      <c r="F123" t="s">
        <v>28</v>
      </c>
      <c r="G123" t="s">
        <v>29</v>
      </c>
      <c r="H123" t="s">
        <v>25</v>
      </c>
      <c r="I123" t="s">
        <v>30</v>
      </c>
      <c r="J123">
        <v>31</v>
      </c>
      <c r="K123" t="s">
        <v>31</v>
      </c>
      <c r="L123">
        <v>1</v>
      </c>
      <c r="M123" t="s">
        <v>20</v>
      </c>
      <c r="N123" t="s">
        <v>52</v>
      </c>
      <c r="O123">
        <v>411</v>
      </c>
      <c r="P123">
        <v>80</v>
      </c>
    </row>
    <row r="124" spans="1:16" x14ac:dyDescent="0.3">
      <c r="A124" s="1">
        <v>44110</v>
      </c>
      <c r="B124" t="s">
        <v>12</v>
      </c>
      <c r="C124" t="s">
        <v>23</v>
      </c>
      <c r="D124" t="s">
        <v>35</v>
      </c>
      <c r="E124">
        <v>30</v>
      </c>
      <c r="F124" t="s">
        <v>28</v>
      </c>
      <c r="G124" t="s">
        <v>16</v>
      </c>
      <c r="H124" t="s">
        <v>17</v>
      </c>
      <c r="I124" t="s">
        <v>18</v>
      </c>
      <c r="J124" t="s">
        <v>38</v>
      </c>
      <c r="K124" t="s">
        <v>40</v>
      </c>
      <c r="L124">
        <v>1</v>
      </c>
      <c r="M124" t="s">
        <v>20</v>
      </c>
      <c r="N124" t="s">
        <v>70</v>
      </c>
      <c r="O124">
        <v>253</v>
      </c>
      <c r="P124">
        <v>49</v>
      </c>
    </row>
    <row r="125" spans="1:16" x14ac:dyDescent="0.3">
      <c r="A125" s="1">
        <v>44125</v>
      </c>
      <c r="B125" t="s">
        <v>12</v>
      </c>
      <c r="C125" t="s">
        <v>23</v>
      </c>
      <c r="D125" t="s">
        <v>14</v>
      </c>
      <c r="E125">
        <v>55</v>
      </c>
      <c r="F125" t="s">
        <v>56</v>
      </c>
      <c r="G125" t="s">
        <v>16</v>
      </c>
      <c r="H125" t="s">
        <v>17</v>
      </c>
      <c r="I125" t="s">
        <v>30</v>
      </c>
      <c r="J125">
        <v>26</v>
      </c>
      <c r="K125" t="s">
        <v>26</v>
      </c>
      <c r="L125">
        <v>0</v>
      </c>
      <c r="M125" t="s">
        <v>27</v>
      </c>
      <c r="N125" t="s">
        <v>51</v>
      </c>
      <c r="O125">
        <v>176</v>
      </c>
      <c r="P125">
        <v>85</v>
      </c>
    </row>
    <row r="126" spans="1:16" x14ac:dyDescent="0.3">
      <c r="A126" s="1">
        <v>44140</v>
      </c>
      <c r="B126" t="s">
        <v>22</v>
      </c>
      <c r="C126" t="s">
        <v>23</v>
      </c>
      <c r="D126" t="s">
        <v>14</v>
      </c>
      <c r="E126">
        <v>80</v>
      </c>
      <c r="F126" t="s">
        <v>24</v>
      </c>
      <c r="G126" t="s">
        <v>58</v>
      </c>
      <c r="H126" t="s">
        <v>17</v>
      </c>
      <c r="I126" t="s">
        <v>30</v>
      </c>
      <c r="J126" t="s">
        <v>38</v>
      </c>
      <c r="K126" t="s">
        <v>26</v>
      </c>
      <c r="L126">
        <v>0</v>
      </c>
      <c r="M126" t="s">
        <v>41</v>
      </c>
      <c r="N126" t="s">
        <v>51</v>
      </c>
      <c r="O126">
        <v>423</v>
      </c>
      <c r="P126">
        <v>89</v>
      </c>
    </row>
    <row r="127" spans="1:16" x14ac:dyDescent="0.3">
      <c r="A127" s="1">
        <v>44155</v>
      </c>
      <c r="B127" t="s">
        <v>12</v>
      </c>
      <c r="C127" t="s">
        <v>13</v>
      </c>
      <c r="D127" t="s">
        <v>14</v>
      </c>
      <c r="E127">
        <v>80</v>
      </c>
      <c r="F127" t="s">
        <v>28</v>
      </c>
      <c r="G127" t="s">
        <v>29</v>
      </c>
      <c r="H127" t="s">
        <v>25</v>
      </c>
      <c r="I127" t="s">
        <v>18</v>
      </c>
      <c r="J127">
        <v>21</v>
      </c>
      <c r="K127" t="s">
        <v>19</v>
      </c>
      <c r="L127">
        <v>0</v>
      </c>
      <c r="M127" t="s">
        <v>27</v>
      </c>
      <c r="N127" t="s">
        <v>62</v>
      </c>
      <c r="O127">
        <v>395</v>
      </c>
      <c r="P127">
        <v>88</v>
      </c>
    </row>
    <row r="128" spans="1:16" x14ac:dyDescent="0.3">
      <c r="A128" s="1">
        <v>44170</v>
      </c>
      <c r="B128" t="s">
        <v>22</v>
      </c>
      <c r="C128" t="s">
        <v>23</v>
      </c>
      <c r="D128" t="s">
        <v>35</v>
      </c>
      <c r="E128">
        <v>30</v>
      </c>
      <c r="F128" t="s">
        <v>24</v>
      </c>
      <c r="G128" t="s">
        <v>29</v>
      </c>
      <c r="H128" t="s">
        <v>17</v>
      </c>
      <c r="I128" t="s">
        <v>30</v>
      </c>
      <c r="J128">
        <v>41</v>
      </c>
      <c r="K128" t="s">
        <v>31</v>
      </c>
      <c r="L128">
        <v>1</v>
      </c>
      <c r="M128" t="s">
        <v>20</v>
      </c>
      <c r="N128" t="s">
        <v>51</v>
      </c>
      <c r="O128">
        <v>360</v>
      </c>
      <c r="P128">
        <v>73</v>
      </c>
    </row>
    <row r="129" spans="1:16" x14ac:dyDescent="0.3">
      <c r="A129" s="1">
        <v>44185</v>
      </c>
      <c r="B129" t="s">
        <v>12</v>
      </c>
      <c r="C129" t="s">
        <v>48</v>
      </c>
      <c r="D129" t="s">
        <v>14</v>
      </c>
      <c r="E129">
        <v>80</v>
      </c>
      <c r="F129" t="s">
        <v>56</v>
      </c>
      <c r="G129" t="s">
        <v>29</v>
      </c>
      <c r="H129" t="s">
        <v>25</v>
      </c>
      <c r="I129" t="s">
        <v>18</v>
      </c>
      <c r="J129">
        <v>21</v>
      </c>
      <c r="K129" t="s">
        <v>19</v>
      </c>
      <c r="L129">
        <v>0</v>
      </c>
      <c r="M129" t="s">
        <v>20</v>
      </c>
      <c r="N129" t="s">
        <v>51</v>
      </c>
      <c r="O129">
        <v>118</v>
      </c>
      <c r="P129">
        <v>74</v>
      </c>
    </row>
    <row r="130" spans="1:16" x14ac:dyDescent="0.3">
      <c r="A130" s="1">
        <v>44200</v>
      </c>
      <c r="B130" t="s">
        <v>12</v>
      </c>
      <c r="C130" t="s">
        <v>23</v>
      </c>
      <c r="D130" t="s">
        <v>14</v>
      </c>
      <c r="E130">
        <v>80</v>
      </c>
      <c r="F130" t="s">
        <v>28</v>
      </c>
      <c r="G130" t="s">
        <v>45</v>
      </c>
      <c r="H130" t="s">
        <v>17</v>
      </c>
      <c r="I130" t="s">
        <v>18</v>
      </c>
      <c r="J130">
        <v>36</v>
      </c>
      <c r="K130" t="s">
        <v>31</v>
      </c>
      <c r="L130">
        <v>0</v>
      </c>
      <c r="M130" t="s">
        <v>27</v>
      </c>
      <c r="N130" t="s">
        <v>52</v>
      </c>
      <c r="O130">
        <v>204</v>
      </c>
      <c r="P130">
        <v>48</v>
      </c>
    </row>
    <row r="131" spans="1:16" x14ac:dyDescent="0.3">
      <c r="A131" s="1">
        <v>44215</v>
      </c>
      <c r="B131" t="s">
        <v>22</v>
      </c>
      <c r="C131" t="s">
        <v>23</v>
      </c>
      <c r="D131" t="s">
        <v>14</v>
      </c>
      <c r="E131">
        <v>80</v>
      </c>
      <c r="F131" t="s">
        <v>24</v>
      </c>
      <c r="G131" t="s">
        <v>29</v>
      </c>
      <c r="H131" t="s">
        <v>25</v>
      </c>
      <c r="I131" t="s">
        <v>30</v>
      </c>
      <c r="J131">
        <v>41</v>
      </c>
      <c r="K131" t="s">
        <v>31</v>
      </c>
      <c r="L131">
        <v>1</v>
      </c>
      <c r="M131" t="s">
        <v>27</v>
      </c>
      <c r="N131" t="s">
        <v>51</v>
      </c>
      <c r="O131">
        <v>161</v>
      </c>
      <c r="P131">
        <v>81</v>
      </c>
    </row>
    <row r="132" spans="1:16" x14ac:dyDescent="0.3">
      <c r="A132" s="1">
        <v>44230</v>
      </c>
      <c r="B132" t="s">
        <v>12</v>
      </c>
      <c r="C132" t="s">
        <v>23</v>
      </c>
      <c r="D132" t="s">
        <v>32</v>
      </c>
      <c r="E132">
        <v>55</v>
      </c>
      <c r="F132" t="s">
        <v>28</v>
      </c>
      <c r="G132" t="s">
        <v>45</v>
      </c>
      <c r="H132" t="s">
        <v>17</v>
      </c>
      <c r="I132" t="s">
        <v>18</v>
      </c>
      <c r="J132">
        <v>41</v>
      </c>
      <c r="K132" t="s">
        <v>31</v>
      </c>
      <c r="L132">
        <v>1</v>
      </c>
      <c r="M132" t="s">
        <v>20</v>
      </c>
      <c r="N132" t="s">
        <v>62</v>
      </c>
      <c r="O132">
        <v>302</v>
      </c>
      <c r="P132">
        <v>30</v>
      </c>
    </row>
    <row r="133" spans="1:16" x14ac:dyDescent="0.3">
      <c r="A133" s="1">
        <v>44245</v>
      </c>
      <c r="B133" t="s">
        <v>12</v>
      </c>
      <c r="C133" t="s">
        <v>23</v>
      </c>
      <c r="D133" t="s">
        <v>32</v>
      </c>
      <c r="E133">
        <v>55</v>
      </c>
      <c r="F133" t="s">
        <v>56</v>
      </c>
      <c r="G133" t="s">
        <v>58</v>
      </c>
      <c r="H133" t="s">
        <v>25</v>
      </c>
      <c r="I133" t="s">
        <v>18</v>
      </c>
      <c r="J133" t="s">
        <v>38</v>
      </c>
      <c r="K133" t="s">
        <v>40</v>
      </c>
      <c r="L133">
        <v>1</v>
      </c>
      <c r="M133" t="s">
        <v>20</v>
      </c>
      <c r="N133" t="s">
        <v>70</v>
      </c>
      <c r="O133">
        <v>128</v>
      </c>
      <c r="P133">
        <v>79</v>
      </c>
    </row>
    <row r="134" spans="1:16" x14ac:dyDescent="0.3">
      <c r="A134" s="1">
        <v>44260</v>
      </c>
      <c r="B134" t="s">
        <v>12</v>
      </c>
      <c r="C134" t="s">
        <v>13</v>
      </c>
      <c r="D134" t="s">
        <v>14</v>
      </c>
      <c r="E134">
        <v>80</v>
      </c>
      <c r="F134" t="s">
        <v>56</v>
      </c>
      <c r="G134" t="s">
        <v>16</v>
      </c>
      <c r="H134" t="s">
        <v>25</v>
      </c>
      <c r="I134" t="s">
        <v>30</v>
      </c>
      <c r="J134">
        <v>31</v>
      </c>
      <c r="K134" t="s">
        <v>31</v>
      </c>
      <c r="L134">
        <v>0</v>
      </c>
      <c r="M134" t="s">
        <v>20</v>
      </c>
      <c r="N134" t="s">
        <v>36</v>
      </c>
      <c r="O134">
        <v>265</v>
      </c>
      <c r="P134">
        <v>54</v>
      </c>
    </row>
    <row r="135" spans="1:16" x14ac:dyDescent="0.3">
      <c r="A135" s="1">
        <v>44275</v>
      </c>
      <c r="B135" t="s">
        <v>12</v>
      </c>
      <c r="C135" t="s">
        <v>53</v>
      </c>
      <c r="D135" t="s">
        <v>14</v>
      </c>
      <c r="E135">
        <v>80</v>
      </c>
      <c r="F135" t="s">
        <v>28</v>
      </c>
      <c r="G135" t="s">
        <v>45</v>
      </c>
      <c r="H135" t="s">
        <v>17</v>
      </c>
      <c r="I135" t="s">
        <v>30</v>
      </c>
      <c r="J135">
        <v>41</v>
      </c>
      <c r="K135" t="s">
        <v>40</v>
      </c>
      <c r="L135">
        <v>1</v>
      </c>
      <c r="M135" t="s">
        <v>27</v>
      </c>
      <c r="N135" t="s">
        <v>52</v>
      </c>
      <c r="O135">
        <v>386</v>
      </c>
      <c r="P135">
        <v>31</v>
      </c>
    </row>
    <row r="136" spans="1:16" x14ac:dyDescent="0.3">
      <c r="A136" s="1">
        <v>44290</v>
      </c>
      <c r="B136" t="s">
        <v>12</v>
      </c>
      <c r="C136" t="s">
        <v>13</v>
      </c>
      <c r="D136" t="s">
        <v>14</v>
      </c>
      <c r="E136">
        <v>30</v>
      </c>
      <c r="F136" t="s">
        <v>44</v>
      </c>
      <c r="G136" t="s">
        <v>58</v>
      </c>
      <c r="H136" t="s">
        <v>17</v>
      </c>
      <c r="I136" t="s">
        <v>30</v>
      </c>
      <c r="J136">
        <v>41</v>
      </c>
      <c r="K136" t="s">
        <v>26</v>
      </c>
      <c r="L136">
        <v>1</v>
      </c>
      <c r="M136" t="s">
        <v>27</v>
      </c>
      <c r="N136" t="s">
        <v>39</v>
      </c>
      <c r="O136">
        <v>252</v>
      </c>
      <c r="P136">
        <v>31</v>
      </c>
    </row>
    <row r="137" spans="1:16" x14ac:dyDescent="0.3">
      <c r="A137" s="1">
        <v>44305</v>
      </c>
      <c r="B137" t="s">
        <v>22</v>
      </c>
      <c r="C137" t="s">
        <v>23</v>
      </c>
      <c r="D137" t="s">
        <v>14</v>
      </c>
      <c r="E137">
        <v>80</v>
      </c>
      <c r="F137" t="s">
        <v>24</v>
      </c>
      <c r="G137" t="s">
        <v>29</v>
      </c>
      <c r="H137" t="s">
        <v>25</v>
      </c>
      <c r="I137" t="s">
        <v>30</v>
      </c>
      <c r="J137" t="s">
        <v>38</v>
      </c>
      <c r="K137" t="s">
        <v>26</v>
      </c>
      <c r="L137">
        <v>0</v>
      </c>
      <c r="M137" t="s">
        <v>41</v>
      </c>
      <c r="N137" t="s">
        <v>52</v>
      </c>
      <c r="O137">
        <v>465</v>
      </c>
      <c r="P137">
        <v>84</v>
      </c>
    </row>
    <row r="138" spans="1:16" x14ac:dyDescent="0.3">
      <c r="A138" s="1">
        <v>44320</v>
      </c>
      <c r="B138" t="s">
        <v>12</v>
      </c>
      <c r="C138" t="s">
        <v>23</v>
      </c>
      <c r="D138" t="s">
        <v>14</v>
      </c>
      <c r="E138">
        <v>80</v>
      </c>
      <c r="F138" t="s">
        <v>28</v>
      </c>
      <c r="G138" t="s">
        <v>29</v>
      </c>
      <c r="H138" t="s">
        <v>17</v>
      </c>
      <c r="I138" t="s">
        <v>30</v>
      </c>
      <c r="J138" t="s">
        <v>38</v>
      </c>
      <c r="K138" t="s">
        <v>40</v>
      </c>
      <c r="L138">
        <v>1</v>
      </c>
      <c r="M138" t="s">
        <v>27</v>
      </c>
      <c r="N138" t="s">
        <v>42</v>
      </c>
      <c r="O138">
        <v>117</v>
      </c>
      <c r="P138">
        <v>33</v>
      </c>
    </row>
    <row r="139" spans="1:16" x14ac:dyDescent="0.3">
      <c r="A139" s="1">
        <v>44335</v>
      </c>
      <c r="B139" t="s">
        <v>34</v>
      </c>
      <c r="C139" t="s">
        <v>23</v>
      </c>
      <c r="D139" t="s">
        <v>14</v>
      </c>
      <c r="E139">
        <v>30</v>
      </c>
      <c r="F139" t="s">
        <v>15</v>
      </c>
      <c r="G139" t="s">
        <v>58</v>
      </c>
      <c r="H139" t="s">
        <v>17</v>
      </c>
      <c r="I139" t="s">
        <v>30</v>
      </c>
      <c r="J139">
        <v>36</v>
      </c>
      <c r="K139" t="s">
        <v>31</v>
      </c>
      <c r="L139">
        <v>0</v>
      </c>
      <c r="M139" t="s">
        <v>27</v>
      </c>
      <c r="N139" t="s">
        <v>36</v>
      </c>
      <c r="O139">
        <v>267</v>
      </c>
      <c r="P139">
        <v>99</v>
      </c>
    </row>
    <row r="140" spans="1:16" x14ac:dyDescent="0.3">
      <c r="A140" s="1">
        <v>44350</v>
      </c>
      <c r="B140" t="s">
        <v>12</v>
      </c>
      <c r="C140" t="s">
        <v>13</v>
      </c>
      <c r="D140" t="s">
        <v>14</v>
      </c>
      <c r="E140">
        <v>55</v>
      </c>
      <c r="F140" t="s">
        <v>28</v>
      </c>
      <c r="G140" t="s">
        <v>29</v>
      </c>
      <c r="H140" t="s">
        <v>17</v>
      </c>
      <c r="I140" t="s">
        <v>30</v>
      </c>
      <c r="J140">
        <v>26</v>
      </c>
      <c r="K140" t="s">
        <v>26</v>
      </c>
      <c r="L140">
        <v>0</v>
      </c>
      <c r="M140" t="s">
        <v>27</v>
      </c>
      <c r="N140" t="s">
        <v>33</v>
      </c>
      <c r="O140">
        <v>405</v>
      </c>
      <c r="P140">
        <v>91</v>
      </c>
    </row>
    <row r="141" spans="1:16" x14ac:dyDescent="0.3">
      <c r="A141" s="1">
        <v>44365</v>
      </c>
      <c r="B141" t="s">
        <v>12</v>
      </c>
      <c r="C141" t="s">
        <v>48</v>
      </c>
      <c r="D141" t="s">
        <v>14</v>
      </c>
      <c r="E141">
        <v>80</v>
      </c>
      <c r="F141" t="s">
        <v>28</v>
      </c>
      <c r="G141" t="s">
        <v>29</v>
      </c>
      <c r="H141" t="s">
        <v>25</v>
      </c>
      <c r="I141" t="s">
        <v>30</v>
      </c>
      <c r="J141">
        <v>21</v>
      </c>
      <c r="K141" t="s">
        <v>19</v>
      </c>
      <c r="L141">
        <v>0</v>
      </c>
      <c r="M141" t="s">
        <v>43</v>
      </c>
      <c r="N141" t="s">
        <v>21</v>
      </c>
      <c r="O141">
        <v>387</v>
      </c>
      <c r="P141">
        <v>93</v>
      </c>
    </row>
    <row r="142" spans="1:16" x14ac:dyDescent="0.3">
      <c r="A142" s="1">
        <v>44380</v>
      </c>
      <c r="B142" t="s">
        <v>12</v>
      </c>
      <c r="C142" t="s">
        <v>13</v>
      </c>
      <c r="D142" t="s">
        <v>14</v>
      </c>
      <c r="E142">
        <v>80</v>
      </c>
      <c r="F142" t="s">
        <v>56</v>
      </c>
      <c r="G142" t="s">
        <v>37</v>
      </c>
      <c r="H142" t="s">
        <v>17</v>
      </c>
      <c r="I142" t="s">
        <v>30</v>
      </c>
      <c r="J142">
        <v>31</v>
      </c>
      <c r="K142" t="s">
        <v>26</v>
      </c>
      <c r="L142">
        <v>0</v>
      </c>
      <c r="M142" t="s">
        <v>43</v>
      </c>
      <c r="N142" t="s">
        <v>52</v>
      </c>
      <c r="O142">
        <v>142</v>
      </c>
      <c r="P142">
        <v>59</v>
      </c>
    </row>
    <row r="143" spans="1:16" x14ac:dyDescent="0.3">
      <c r="A143" s="1">
        <v>44395</v>
      </c>
      <c r="B143" t="s">
        <v>34</v>
      </c>
      <c r="C143" t="s">
        <v>23</v>
      </c>
      <c r="D143" t="s">
        <v>14</v>
      </c>
      <c r="E143">
        <v>30</v>
      </c>
      <c r="F143" t="s">
        <v>15</v>
      </c>
      <c r="G143" t="s">
        <v>37</v>
      </c>
      <c r="H143" t="s">
        <v>17</v>
      </c>
      <c r="I143" t="s">
        <v>18</v>
      </c>
      <c r="J143" t="s">
        <v>61</v>
      </c>
      <c r="K143" t="s">
        <v>26</v>
      </c>
      <c r="L143">
        <v>0</v>
      </c>
      <c r="M143" t="s">
        <v>20</v>
      </c>
      <c r="N143" t="s">
        <v>47</v>
      </c>
      <c r="O143">
        <v>315</v>
      </c>
      <c r="P143">
        <v>72</v>
      </c>
    </row>
    <row r="144" spans="1:16" x14ac:dyDescent="0.3">
      <c r="A144" s="1">
        <v>44410</v>
      </c>
      <c r="B144" t="s">
        <v>12</v>
      </c>
      <c r="C144" t="s">
        <v>13</v>
      </c>
      <c r="D144" t="s">
        <v>32</v>
      </c>
      <c r="E144">
        <v>55</v>
      </c>
      <c r="F144" t="s">
        <v>44</v>
      </c>
      <c r="G144" t="s">
        <v>45</v>
      </c>
      <c r="H144" t="s">
        <v>25</v>
      </c>
      <c r="I144" t="s">
        <v>18</v>
      </c>
      <c r="J144">
        <v>31</v>
      </c>
      <c r="K144" t="s">
        <v>26</v>
      </c>
      <c r="L144">
        <v>0</v>
      </c>
      <c r="M144" t="s">
        <v>20</v>
      </c>
      <c r="N144" t="s">
        <v>63</v>
      </c>
      <c r="O144">
        <v>207</v>
      </c>
      <c r="P144">
        <v>75</v>
      </c>
    </row>
    <row r="145" spans="1:16" x14ac:dyDescent="0.3">
      <c r="A145" s="1">
        <v>44425</v>
      </c>
      <c r="B145" t="s">
        <v>12</v>
      </c>
      <c r="C145" t="s">
        <v>23</v>
      </c>
      <c r="D145" t="s">
        <v>14</v>
      </c>
      <c r="E145">
        <v>55</v>
      </c>
      <c r="F145" t="s">
        <v>56</v>
      </c>
      <c r="G145" t="s">
        <v>16</v>
      </c>
      <c r="H145" t="s">
        <v>17</v>
      </c>
      <c r="I145" t="s">
        <v>30</v>
      </c>
      <c r="J145">
        <v>26</v>
      </c>
      <c r="K145" t="s">
        <v>26</v>
      </c>
      <c r="L145">
        <v>0</v>
      </c>
      <c r="M145" t="s">
        <v>20</v>
      </c>
      <c r="N145" t="s">
        <v>63</v>
      </c>
      <c r="O145">
        <v>374</v>
      </c>
      <c r="P145">
        <v>74</v>
      </c>
    </row>
    <row r="146" spans="1:16" x14ac:dyDescent="0.3">
      <c r="A146" s="1">
        <v>44440</v>
      </c>
      <c r="B146" t="s">
        <v>34</v>
      </c>
      <c r="C146" t="s">
        <v>23</v>
      </c>
      <c r="D146" t="s">
        <v>14</v>
      </c>
      <c r="E146">
        <v>55</v>
      </c>
      <c r="F146" t="s">
        <v>15</v>
      </c>
      <c r="G146" t="s">
        <v>37</v>
      </c>
      <c r="H146" t="s">
        <v>17</v>
      </c>
      <c r="I146" t="s">
        <v>18</v>
      </c>
      <c r="J146">
        <v>41</v>
      </c>
      <c r="K146" t="s">
        <v>31</v>
      </c>
      <c r="L146">
        <v>1</v>
      </c>
      <c r="M146" t="s">
        <v>41</v>
      </c>
      <c r="N146" t="s">
        <v>51</v>
      </c>
      <c r="O146">
        <v>371</v>
      </c>
      <c r="P146">
        <v>84</v>
      </c>
    </row>
    <row r="147" spans="1:16" x14ac:dyDescent="0.3">
      <c r="A147" s="1">
        <v>44455</v>
      </c>
      <c r="B147" t="s">
        <v>22</v>
      </c>
      <c r="C147" t="s">
        <v>23</v>
      </c>
      <c r="D147" t="s">
        <v>14</v>
      </c>
      <c r="E147">
        <v>80</v>
      </c>
      <c r="F147" t="s">
        <v>24</v>
      </c>
      <c r="G147" t="s">
        <v>37</v>
      </c>
      <c r="H147" t="s">
        <v>25</v>
      </c>
      <c r="I147" t="s">
        <v>30</v>
      </c>
      <c r="J147" t="s">
        <v>38</v>
      </c>
      <c r="K147" t="s">
        <v>26</v>
      </c>
      <c r="L147">
        <v>0</v>
      </c>
      <c r="M147" t="s">
        <v>41</v>
      </c>
      <c r="N147" t="s">
        <v>36</v>
      </c>
      <c r="O147">
        <v>346</v>
      </c>
      <c r="P147">
        <v>93</v>
      </c>
    </row>
    <row r="148" spans="1:16" x14ac:dyDescent="0.3">
      <c r="A148" s="1">
        <v>44470</v>
      </c>
      <c r="B148" t="s">
        <v>22</v>
      </c>
      <c r="C148" t="s">
        <v>23</v>
      </c>
      <c r="D148" t="s">
        <v>35</v>
      </c>
      <c r="E148">
        <v>30</v>
      </c>
      <c r="F148" t="s">
        <v>24</v>
      </c>
      <c r="G148" t="s">
        <v>29</v>
      </c>
      <c r="H148" t="s">
        <v>17</v>
      </c>
      <c r="I148" t="s">
        <v>18</v>
      </c>
      <c r="J148">
        <v>26</v>
      </c>
      <c r="K148" t="s">
        <v>26</v>
      </c>
      <c r="L148">
        <v>1</v>
      </c>
      <c r="M148" t="s">
        <v>20</v>
      </c>
      <c r="N148" t="s">
        <v>49</v>
      </c>
      <c r="O148">
        <v>199</v>
      </c>
      <c r="P148">
        <v>91</v>
      </c>
    </row>
    <row r="149" spans="1:16" x14ac:dyDescent="0.3">
      <c r="A149" s="1">
        <v>44485</v>
      </c>
      <c r="B149" t="s">
        <v>34</v>
      </c>
      <c r="C149" t="s">
        <v>48</v>
      </c>
      <c r="D149" t="s">
        <v>14</v>
      </c>
      <c r="E149">
        <v>80</v>
      </c>
      <c r="F149" t="s">
        <v>15</v>
      </c>
      <c r="G149" t="s">
        <v>29</v>
      </c>
      <c r="H149" t="s">
        <v>17</v>
      </c>
      <c r="I149" t="s">
        <v>18</v>
      </c>
      <c r="J149">
        <v>21</v>
      </c>
      <c r="K149" t="s">
        <v>19</v>
      </c>
      <c r="L149">
        <v>0</v>
      </c>
      <c r="M149" t="s">
        <v>46</v>
      </c>
      <c r="N149" t="s">
        <v>49</v>
      </c>
      <c r="O149">
        <v>367</v>
      </c>
      <c r="P149">
        <v>83</v>
      </c>
    </row>
    <row r="150" spans="1:16" x14ac:dyDescent="0.3">
      <c r="A150" s="1">
        <v>44500</v>
      </c>
      <c r="B150" t="s">
        <v>34</v>
      </c>
      <c r="C150" t="s">
        <v>23</v>
      </c>
      <c r="D150" t="s">
        <v>35</v>
      </c>
      <c r="E150">
        <v>30</v>
      </c>
      <c r="F150" t="s">
        <v>44</v>
      </c>
      <c r="G150" t="s">
        <v>58</v>
      </c>
      <c r="H150" t="s">
        <v>17</v>
      </c>
      <c r="I150" t="s">
        <v>30</v>
      </c>
      <c r="J150" t="s">
        <v>38</v>
      </c>
      <c r="K150" t="s">
        <v>26</v>
      </c>
      <c r="L150">
        <v>1</v>
      </c>
      <c r="M150" t="s">
        <v>27</v>
      </c>
      <c r="N150" t="s">
        <v>47</v>
      </c>
      <c r="O150">
        <v>417</v>
      </c>
      <c r="P150">
        <v>46</v>
      </c>
    </row>
    <row r="151" spans="1:16" x14ac:dyDescent="0.3">
      <c r="A151" s="1">
        <v>44515</v>
      </c>
      <c r="B151" t="s">
        <v>12</v>
      </c>
      <c r="C151" t="s">
        <v>53</v>
      </c>
      <c r="D151" t="s">
        <v>14</v>
      </c>
      <c r="E151">
        <v>55</v>
      </c>
      <c r="F151" t="s">
        <v>56</v>
      </c>
      <c r="G151" t="s">
        <v>16</v>
      </c>
      <c r="H151" t="s">
        <v>17</v>
      </c>
      <c r="I151" t="s">
        <v>30</v>
      </c>
      <c r="J151">
        <v>41</v>
      </c>
      <c r="K151" t="s">
        <v>31</v>
      </c>
      <c r="L151">
        <v>1</v>
      </c>
      <c r="M151" t="s">
        <v>43</v>
      </c>
      <c r="N151" t="s">
        <v>36</v>
      </c>
      <c r="O151">
        <v>131</v>
      </c>
      <c r="P151">
        <v>75</v>
      </c>
    </row>
    <row r="152" spans="1:16" x14ac:dyDescent="0.3">
      <c r="A152" s="1">
        <v>44530</v>
      </c>
      <c r="B152" t="s">
        <v>34</v>
      </c>
      <c r="C152" t="s">
        <v>23</v>
      </c>
      <c r="D152" t="s">
        <v>14</v>
      </c>
      <c r="E152">
        <v>80</v>
      </c>
      <c r="F152" t="s">
        <v>44</v>
      </c>
      <c r="G152" t="s">
        <v>37</v>
      </c>
      <c r="H152" t="s">
        <v>17</v>
      </c>
      <c r="I152" t="s">
        <v>30</v>
      </c>
      <c r="J152">
        <v>31</v>
      </c>
      <c r="K152" t="s">
        <v>26</v>
      </c>
      <c r="L152">
        <v>0</v>
      </c>
      <c r="M152" t="s">
        <v>46</v>
      </c>
      <c r="N152" t="s">
        <v>39</v>
      </c>
      <c r="O152">
        <v>120</v>
      </c>
      <c r="P152">
        <v>30</v>
      </c>
    </row>
    <row r="153" spans="1:16" x14ac:dyDescent="0.3">
      <c r="A153" s="1">
        <v>44545</v>
      </c>
      <c r="B153" t="s">
        <v>22</v>
      </c>
      <c r="C153" t="s">
        <v>23</v>
      </c>
      <c r="D153" t="s">
        <v>35</v>
      </c>
      <c r="E153">
        <v>30</v>
      </c>
      <c r="F153" t="s">
        <v>24</v>
      </c>
      <c r="G153" t="s">
        <v>37</v>
      </c>
      <c r="H153" t="s">
        <v>17</v>
      </c>
      <c r="I153" t="s">
        <v>30</v>
      </c>
      <c r="J153">
        <v>31</v>
      </c>
      <c r="K153" t="s">
        <v>26</v>
      </c>
      <c r="L153">
        <v>0</v>
      </c>
      <c r="M153" t="s">
        <v>27</v>
      </c>
      <c r="N153" t="s">
        <v>36</v>
      </c>
      <c r="O153">
        <v>430</v>
      </c>
      <c r="P153">
        <v>72</v>
      </c>
    </row>
    <row r="154" spans="1:16" x14ac:dyDescent="0.3">
      <c r="A154" s="1">
        <v>44560</v>
      </c>
      <c r="B154" t="s">
        <v>12</v>
      </c>
      <c r="C154" t="s">
        <v>23</v>
      </c>
      <c r="D154" t="s">
        <v>14</v>
      </c>
      <c r="E154">
        <v>55</v>
      </c>
      <c r="F154" t="s">
        <v>28</v>
      </c>
      <c r="G154" t="s">
        <v>29</v>
      </c>
      <c r="H154" t="s">
        <v>25</v>
      </c>
      <c r="I154" t="s">
        <v>30</v>
      </c>
      <c r="J154" t="s">
        <v>38</v>
      </c>
      <c r="K154" t="s">
        <v>40</v>
      </c>
      <c r="L154">
        <v>1</v>
      </c>
      <c r="M154" t="s">
        <v>41</v>
      </c>
      <c r="N154" t="s">
        <v>42</v>
      </c>
      <c r="O154">
        <v>328</v>
      </c>
      <c r="P154">
        <v>71</v>
      </c>
    </row>
    <row r="155" spans="1:16" x14ac:dyDescent="0.3">
      <c r="A155" s="1">
        <v>44575</v>
      </c>
      <c r="B155" t="s">
        <v>12</v>
      </c>
      <c r="C155" t="s">
        <v>13</v>
      </c>
      <c r="D155" t="s">
        <v>14</v>
      </c>
      <c r="E155">
        <v>80</v>
      </c>
      <c r="F155" t="s">
        <v>56</v>
      </c>
      <c r="G155" t="s">
        <v>29</v>
      </c>
      <c r="H155" t="s">
        <v>25</v>
      </c>
      <c r="I155" t="s">
        <v>18</v>
      </c>
      <c r="J155">
        <v>21</v>
      </c>
      <c r="K155" t="s">
        <v>31</v>
      </c>
      <c r="L155">
        <v>0</v>
      </c>
      <c r="M155" t="s">
        <v>27</v>
      </c>
      <c r="N155" t="s">
        <v>54</v>
      </c>
      <c r="O155">
        <v>266</v>
      </c>
      <c r="P155">
        <v>71</v>
      </c>
    </row>
    <row r="156" spans="1:16" x14ac:dyDescent="0.3">
      <c r="A156" s="1">
        <v>44590</v>
      </c>
      <c r="B156" t="s">
        <v>34</v>
      </c>
      <c r="C156" t="s">
        <v>23</v>
      </c>
      <c r="D156" t="s">
        <v>14</v>
      </c>
      <c r="E156">
        <v>80</v>
      </c>
      <c r="F156" t="s">
        <v>15</v>
      </c>
      <c r="G156" t="s">
        <v>58</v>
      </c>
      <c r="H156" t="s">
        <v>25</v>
      </c>
      <c r="I156" t="s">
        <v>18</v>
      </c>
      <c r="J156" t="s">
        <v>38</v>
      </c>
      <c r="K156" t="s">
        <v>26</v>
      </c>
      <c r="L156">
        <v>0</v>
      </c>
      <c r="M156" t="s">
        <v>27</v>
      </c>
      <c r="N156" t="s">
        <v>54</v>
      </c>
      <c r="O156">
        <v>141</v>
      </c>
      <c r="P156">
        <v>43</v>
      </c>
    </row>
  </sheetData>
  <autoFilter ref="A7:P156"/>
  <mergeCells count="9">
    <mergeCell ref="A5:B5"/>
    <mergeCell ref="C5:G5"/>
    <mergeCell ref="I3:K3"/>
    <mergeCell ref="A2:B2"/>
    <mergeCell ref="A3:B3"/>
    <mergeCell ref="C2:G2"/>
    <mergeCell ref="C3:G3"/>
    <mergeCell ref="A4:B4"/>
    <mergeCell ref="C4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"/>
  <sheetViews>
    <sheetView tabSelected="1" workbookViewId="0">
      <selection activeCell="I2" sqref="I2"/>
    </sheetView>
  </sheetViews>
  <sheetFormatPr defaultRowHeight="14.4" x14ac:dyDescent="0.3"/>
  <cols>
    <col min="2" max="2" width="7" bestFit="1" customWidth="1"/>
    <col min="3" max="4" width="6.44140625" bestFit="1" customWidth="1"/>
    <col min="5" max="7" width="4" bestFit="1" customWidth="1"/>
    <col min="8" max="10" width="12.5546875" bestFit="1" customWidth="1"/>
  </cols>
  <sheetData>
    <row r="1" spans="2:12" x14ac:dyDescent="0.3">
      <c r="B1" s="11" t="s">
        <v>212</v>
      </c>
      <c r="C1" s="11" t="s">
        <v>213</v>
      </c>
      <c r="D1" s="11" t="s">
        <v>214</v>
      </c>
      <c r="H1" t="s">
        <v>215</v>
      </c>
    </row>
    <row r="2" spans="2:12" x14ac:dyDescent="0.3">
      <c r="B2" s="11">
        <v>1</v>
      </c>
      <c r="C2" s="11">
        <v>1</v>
      </c>
      <c r="D2" s="11">
        <v>1</v>
      </c>
      <c r="H2">
        <f>B$2+C2</f>
        <v>2</v>
      </c>
      <c r="I2">
        <f t="shared" ref="I2:J2" si="0">C$2+D2</f>
        <v>2</v>
      </c>
      <c r="J2">
        <f t="shared" si="0"/>
        <v>1</v>
      </c>
      <c r="K2">
        <f t="shared" ref="I2:L2" si="1">$B$2+F2</f>
        <v>1</v>
      </c>
      <c r="L2">
        <f t="shared" si="1"/>
        <v>1</v>
      </c>
    </row>
    <row r="3" spans="2:12" x14ac:dyDescent="0.3">
      <c r="B3" s="11">
        <f>B2+1</f>
        <v>2</v>
      </c>
      <c r="C3" s="11">
        <f>C2+1</f>
        <v>2</v>
      </c>
      <c r="D3" s="11">
        <f>D2+1</f>
        <v>2</v>
      </c>
      <c r="H3">
        <f t="shared" ref="H3:H7" si="2">B$2+C3</f>
        <v>3</v>
      </c>
    </row>
    <row r="4" spans="2:12" x14ac:dyDescent="0.3">
      <c r="B4" s="11">
        <f t="shared" ref="B4:D7" si="3">B3+1</f>
        <v>3</v>
      </c>
      <c r="C4" s="11">
        <f t="shared" si="3"/>
        <v>3</v>
      </c>
      <c r="D4" s="11">
        <f t="shared" si="3"/>
        <v>3</v>
      </c>
      <c r="H4">
        <f t="shared" si="2"/>
        <v>4</v>
      </c>
    </row>
    <row r="5" spans="2:12" x14ac:dyDescent="0.3">
      <c r="B5" s="11">
        <f t="shared" si="3"/>
        <v>4</v>
      </c>
      <c r="C5" s="11">
        <f t="shared" si="3"/>
        <v>4</v>
      </c>
      <c r="D5" s="11">
        <f t="shared" si="3"/>
        <v>4</v>
      </c>
      <c r="H5">
        <f t="shared" si="2"/>
        <v>5</v>
      </c>
    </row>
    <row r="6" spans="2:12" x14ac:dyDescent="0.3">
      <c r="B6" s="11">
        <f t="shared" si="3"/>
        <v>5</v>
      </c>
      <c r="C6" s="11">
        <f t="shared" si="3"/>
        <v>5</v>
      </c>
      <c r="D6" s="11">
        <f t="shared" si="3"/>
        <v>5</v>
      </c>
      <c r="H6">
        <f t="shared" si="2"/>
        <v>6</v>
      </c>
    </row>
    <row r="7" spans="2:12" x14ac:dyDescent="0.3">
      <c r="B7" s="11">
        <f t="shared" si="3"/>
        <v>6</v>
      </c>
      <c r="C7" s="11">
        <f t="shared" si="3"/>
        <v>6</v>
      </c>
      <c r="D7" s="11">
        <f t="shared" si="3"/>
        <v>6</v>
      </c>
      <c r="H7">
        <f t="shared" si="2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Sheet5</vt:lpstr>
      <vt:lpstr>Sorting &amp; Filtering</vt:lpstr>
      <vt:lpstr>Duplicates</vt:lpstr>
      <vt:lpstr>Data Validation</vt:lpstr>
      <vt:lpstr>TEXT TO COLUMN</vt:lpstr>
      <vt:lpstr>RawDATA</vt:lpstr>
      <vt:lpstr>ApplyFormula &amp; use of $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2026-06-29T12:50:28Z</dcterms:modified>
</cp:coreProperties>
</file>