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03.Pivot Tables &amp; Data Analysis\"/>
    </mc:Choice>
  </mc:AlternateContent>
  <bookViews>
    <workbookView xWindow="0" yWindow="0" windowWidth="23040" windowHeight="9072"/>
  </bookViews>
  <sheets>
    <sheet name="Totics To cover" sheetId="13" r:id="rId1"/>
    <sheet name="Undwestading Pivot" sheetId="22" r:id="rId2"/>
    <sheet name="View Manipulation" sheetId="28" r:id="rId3"/>
    <sheet name="Grouping" sheetId="21" r:id="rId4"/>
    <sheet name="Merge Column" sheetId="23" r:id="rId5"/>
    <sheet name="Classic View" sheetId="24" r:id="rId6"/>
    <sheet name="Handle Error and Empty cell" sheetId="27" r:id="rId7"/>
    <sheet name="Filter" sheetId="26" r:id="rId8"/>
    <sheet name="Show expandCollpase Button" sheetId="29" r:id="rId9"/>
    <sheet name="DynamicRange Formula" sheetId="34" r:id="rId10"/>
    <sheet name="DynamicRangeUsingTable" sheetId="32" r:id="rId11"/>
    <sheet name="Calculation" sheetId="25" r:id="rId12"/>
    <sheet name="RawDATA" sheetId="16" r:id="rId13"/>
  </sheets>
  <definedNames>
    <definedName name="_xlnm._FilterDatabase" localSheetId="12" hidden="1">RawDATA!$A$1:$L$54</definedName>
    <definedName name="DYNA01Range">OFFSET('DynamicRange Formula'!$A$1,0,0,COUNTA('DynamicRange Formula'!$A:$A),COUNTA('DynamicRange Formula'!$1:$1))</definedName>
    <definedName name="DynamicRangePivot" localSheetId="9">OFFSET('DynamicRange Formula'!XEW1048569,0,0,COUNTA('DynamicRange Formula'!$A:$A),COUNTA('DynamicRange Formula'!$1:$1))</definedName>
    <definedName name="DynamicRangePivot">OFFSET(DynamicRangeUsingTable!XEW1048569,0,0,COUNTA(DynamicRangeUsingTable!$A:$A),COUNTA(DynamicRangeUsingTable!$1:$1))</definedName>
  </definedNames>
  <calcPr calcId="162913"/>
  <pivotCaches>
    <pivotCache cacheId="0" r:id="rId14"/>
    <pivotCache cacheId="1" r:id="rId15"/>
    <pivotCache cacheId="2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34" l="1"/>
</calcChain>
</file>

<file path=xl/sharedStrings.xml><?xml version="1.0" encoding="utf-8"?>
<sst xmlns="http://schemas.openxmlformats.org/spreadsheetml/2006/main" count="1097" uniqueCount="179">
  <si>
    <t>passanger</t>
  </si>
  <si>
    <t>weather</t>
  </si>
  <si>
    <t>temperature</t>
  </si>
  <si>
    <t>time</t>
  </si>
  <si>
    <t>coupon</t>
  </si>
  <si>
    <t>expiration</t>
  </si>
  <si>
    <t>gender</t>
  </si>
  <si>
    <t>age</t>
  </si>
  <si>
    <t>maritalStatus</t>
  </si>
  <si>
    <t>has_children</t>
  </si>
  <si>
    <t>education</t>
  </si>
  <si>
    <t>occupation</t>
  </si>
  <si>
    <t>No Urgent Place</t>
  </si>
  <si>
    <t>Friend(s)</t>
  </si>
  <si>
    <t>Sunny</t>
  </si>
  <si>
    <t>6PM</t>
  </si>
  <si>
    <t>Restaurant(&lt;20)</t>
  </si>
  <si>
    <t>1d</t>
  </si>
  <si>
    <t>Male</t>
  </si>
  <si>
    <t>Unmarried partner</t>
  </si>
  <si>
    <t>Work</t>
  </si>
  <si>
    <t>Alone</t>
  </si>
  <si>
    <t>7AM</t>
  </si>
  <si>
    <t>2h</t>
  </si>
  <si>
    <t>Single</t>
  </si>
  <si>
    <t>Bachelors degree</t>
  </si>
  <si>
    <t>10AM</t>
  </si>
  <si>
    <t>Coffee House</t>
  </si>
  <si>
    <t>Female</t>
  </si>
  <si>
    <t>Married partner</t>
  </si>
  <si>
    <t>Rainy</t>
  </si>
  <si>
    <t>Computer &amp; Mathematical</t>
  </si>
  <si>
    <t>Home</t>
  </si>
  <si>
    <t>Snowy</t>
  </si>
  <si>
    <t>Restaurant(20-50)</t>
  </si>
  <si>
    <t>Divorced</t>
  </si>
  <si>
    <t>Associates degree</t>
  </si>
  <si>
    <t>10PM</t>
  </si>
  <si>
    <t>Bar</t>
  </si>
  <si>
    <t>High School Graduate</t>
  </si>
  <si>
    <t>Partner</t>
  </si>
  <si>
    <t>Architecture &amp; Engineering</t>
  </si>
  <si>
    <t>Education&amp;Training&amp;Library</t>
  </si>
  <si>
    <t>Kid(s)</t>
  </si>
  <si>
    <t>Community &amp; Social Services</t>
  </si>
  <si>
    <t>2PM</t>
  </si>
  <si>
    <t>Carry out &amp; Take away</t>
  </si>
  <si>
    <t>Business &amp; Financial</t>
  </si>
  <si>
    <t>Building &amp; Grounds Cleaning &amp; Maintenance</t>
  </si>
  <si>
    <t>Destination</t>
  </si>
  <si>
    <t>Date</t>
  </si>
  <si>
    <t>Cost</t>
  </si>
  <si>
    <t>Practice exercises</t>
  </si>
  <si>
    <t>Pivot Tables &amp; Data Analysis</t>
  </si>
  <si>
    <t>Creating Pivot Tables, Pivot Table fields &amp; layout</t>
  </si>
  <si>
    <t>Grouping data (dates, numbers)</t>
  </si>
  <si>
    <t>Pivot Charts, Slicers &amp; Timelines</t>
  </si>
  <si>
    <t>Calculated fields</t>
  </si>
  <si>
    <t>Flash Fill</t>
  </si>
  <si>
    <t>Grand Total</t>
  </si>
  <si>
    <t>Row Labels</t>
  </si>
  <si>
    <t>Yes</t>
  </si>
  <si>
    <t>No</t>
  </si>
  <si>
    <t>Masters or Doctorate</t>
  </si>
  <si>
    <t>Arts, Design, Sports, Media</t>
  </si>
  <si>
    <t>Some college</t>
  </si>
  <si>
    <t>Sale</t>
  </si>
  <si>
    <t>Region</t>
  </si>
  <si>
    <t>north</t>
  </si>
  <si>
    <t>west</t>
  </si>
  <si>
    <t>east</t>
  </si>
  <si>
    <t>CUST ID</t>
  </si>
  <si>
    <t>Cust-SS-01</t>
  </si>
  <si>
    <t>Cust-SS-02</t>
  </si>
  <si>
    <t>Cust-SS-03</t>
  </si>
  <si>
    <t>Cust-SS-04</t>
  </si>
  <si>
    <t>Cust-SS-05</t>
  </si>
  <si>
    <t>Cust-SS-06</t>
  </si>
  <si>
    <t>Cust-SS-07</t>
  </si>
  <si>
    <t>Cust-SS-08</t>
  </si>
  <si>
    <t>Cust-SS-09</t>
  </si>
  <si>
    <t>Cust-SS-10</t>
  </si>
  <si>
    <t>Cust-SS-11</t>
  </si>
  <si>
    <t>Cust-SS-12</t>
  </si>
  <si>
    <t>Cust-SS-13</t>
  </si>
  <si>
    <t>Cust-SS-14</t>
  </si>
  <si>
    <t>Cust-SS-15</t>
  </si>
  <si>
    <t>Cust-SS-16</t>
  </si>
  <si>
    <t>Cust-SS-17</t>
  </si>
  <si>
    <t>Cust-SS-18</t>
  </si>
  <si>
    <t>Cust-SS-19</t>
  </si>
  <si>
    <t>Cust-SS-20</t>
  </si>
  <si>
    <t>Cust-SS-21</t>
  </si>
  <si>
    <t>Cust-SS-22</t>
  </si>
  <si>
    <t>Cust-SS-23</t>
  </si>
  <si>
    <t>Cust-SS-24</t>
  </si>
  <si>
    <t>Cust-SS-25</t>
  </si>
  <si>
    <t>Cust-SS-26</t>
  </si>
  <si>
    <t>Cust-SS-27</t>
  </si>
  <si>
    <t>Cust-SS-28</t>
  </si>
  <si>
    <t>Cust-SS-29</t>
  </si>
  <si>
    <t>Cust-SS-30</t>
  </si>
  <si>
    <t>Cust-SS-31</t>
  </si>
  <si>
    <t>Cust-SS-32</t>
  </si>
  <si>
    <t>Cust-SS-33</t>
  </si>
  <si>
    <t>Cust-SS-34</t>
  </si>
  <si>
    <t>Cust-SS-35</t>
  </si>
  <si>
    <t>Cust-SS-36</t>
  </si>
  <si>
    <t>Cust-SS-37</t>
  </si>
  <si>
    <t>Cust-SS-38</t>
  </si>
  <si>
    <t>Cust-SS-39</t>
  </si>
  <si>
    <t>Cust-SS-40</t>
  </si>
  <si>
    <t>Cust-SS-41</t>
  </si>
  <si>
    <t>Cust-SS-42</t>
  </si>
  <si>
    <t>Cust-SS-43</t>
  </si>
  <si>
    <t>Cust-SS-44</t>
  </si>
  <si>
    <t>Cust-SS-45</t>
  </si>
  <si>
    <t>Cust-SS-46</t>
  </si>
  <si>
    <t>Cust-SS-47</t>
  </si>
  <si>
    <t>Cust-SS-48</t>
  </si>
  <si>
    <t>Cust-SS-49</t>
  </si>
  <si>
    <t>Cust-SS-50</t>
  </si>
  <si>
    <t>Cust-SS-51</t>
  </si>
  <si>
    <t>Cust-SS-52</t>
  </si>
  <si>
    <t>Cust-SS-53</t>
  </si>
  <si>
    <t>country</t>
  </si>
  <si>
    <t>usa</t>
  </si>
  <si>
    <t>canada</t>
  </si>
  <si>
    <t>Column Labels</t>
  </si>
  <si>
    <t>Sum of Sale</t>
  </si>
  <si>
    <t>Total</t>
  </si>
  <si>
    <t>Divorced Total</t>
  </si>
  <si>
    <t>Married partner Total</t>
  </si>
  <si>
    <t>Single Total</t>
  </si>
  <si>
    <t>Unmarried partner Total</t>
  </si>
  <si>
    <t xml:space="preserve">Rows </t>
  </si>
  <si>
    <t xml:space="preserve"> What do you want listed? (e.g., Region) </t>
  </si>
  <si>
    <t xml:space="preserve">Columns </t>
  </si>
  <si>
    <t xml:space="preserve"> How do you want to compare? (e.g., Month) </t>
  </si>
  <si>
    <t xml:space="preserve">Values </t>
  </si>
  <si>
    <t xml:space="preserve"> What do you want to calculate? (e.g., Sum of Sales) </t>
  </si>
  <si>
    <t xml:space="preserve">Filters </t>
  </si>
  <si>
    <t>Min</t>
  </si>
  <si>
    <t>max</t>
  </si>
  <si>
    <t>sum</t>
  </si>
  <si>
    <t>count</t>
  </si>
  <si>
    <t>(All)</t>
  </si>
  <si>
    <t>Sales ID</t>
  </si>
  <si>
    <t>PR-S-13</t>
  </si>
  <si>
    <t>PR-S-11</t>
  </si>
  <si>
    <t>PR-S-09</t>
  </si>
  <si>
    <t>PR-S-02</t>
  </si>
  <si>
    <t>PR-S-14</t>
  </si>
  <si>
    <t>PR-S-01</t>
  </si>
  <si>
    <t>PR-S-15</t>
  </si>
  <si>
    <t>PR-S-06</t>
  </si>
  <si>
    <t>PR-S-07</t>
  </si>
  <si>
    <t>PR-S-08</t>
  </si>
  <si>
    <t>PR-S-03</t>
  </si>
  <si>
    <t>PR-S-12</t>
  </si>
  <si>
    <t>PR-S-05</t>
  </si>
  <si>
    <t>PR-S-10</t>
  </si>
  <si>
    <t>PR-S-04</t>
  </si>
  <si>
    <t>CALCULATED FIELD</t>
  </si>
  <si>
    <t>Sum of Incentives02</t>
  </si>
  <si>
    <t>ANALYZE</t>
  </si>
  <si>
    <t>Fields,Items &amp; Sets</t>
  </si>
  <si>
    <t>Calculated Fields</t>
  </si>
  <si>
    <t>Country</t>
  </si>
  <si>
    <t>Maritial Status</t>
  </si>
  <si>
    <t>sdf</t>
  </si>
  <si>
    <t>asdf</t>
  </si>
  <si>
    <t>(blank)</t>
  </si>
  <si>
    <t>=OFFSET(reference,row,cols,height,width)</t>
  </si>
  <si>
    <t>=OFFSET($A$1,0,0,COUNTA($A:$A),COUNTA($1:$1))</t>
  </si>
  <si>
    <t>Formula---&gt; DefineNAME</t>
  </si>
  <si>
    <t>east Total</t>
  </si>
  <si>
    <t>north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</si>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</sst>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b/>
      <sz val="13.5"/>
      <color theme="1"/>
      <name val="Candara"/>
      <family val="2"/>
    </font>
    <font>
      <sz val="12"/>
      <color theme="1"/>
      <name val="Candara"/>
      <family val="2"/>
    </font>
    <font>
      <b/>
      <sz val="12"/>
      <color theme="1"/>
      <name val="Candara"/>
      <family val="2"/>
    </font>
    <font>
      <sz val="11"/>
      <color theme="1"/>
      <name val="Calibri"/>
      <family val="2"/>
      <scheme val="minor"/>
    </font>
    <font>
      <sz val="11"/>
      <color theme="1"/>
      <name val="Candara"/>
      <family val="2"/>
    </font>
    <font>
      <b/>
      <sz val="12"/>
      <color rgb="FF000000"/>
      <name val="Candara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9">
    <xf numFmtId="0" fontId="0" fillId="0" borderId="0" xfId="0"/>
    <xf numFmtId="15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 indent="1"/>
    </xf>
    <xf numFmtId="0" fontId="5" fillId="0" borderId="0" xfId="0" applyFont="1"/>
    <xf numFmtId="0" fontId="2" fillId="0" borderId="0" xfId="0" applyFont="1"/>
    <xf numFmtId="0" fontId="6" fillId="0" borderId="0" xfId="0" applyFont="1" applyAlignment="1">
      <alignment horizontal="left" vertical="center" indent="5" readingOrder="1"/>
    </xf>
    <xf numFmtId="0" fontId="5" fillId="0" borderId="0" xfId="0" pivotButton="1" applyFont="1"/>
    <xf numFmtId="0" fontId="5" fillId="0" borderId="0" xfId="0" applyFont="1" applyAlignment="1">
      <alignment horizontal="left"/>
    </xf>
    <xf numFmtId="0" fontId="5" fillId="0" borderId="0" xfId="0" applyNumberFormat="1" applyFont="1"/>
    <xf numFmtId="43" fontId="0" fillId="0" borderId="0" xfId="1" applyFont="1"/>
    <xf numFmtId="0" fontId="0" fillId="0" borderId="0" xfId="0" quotePrefix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2" borderId="11" xfId="0" applyFont="1" applyFill="1" applyBorder="1"/>
    <xf numFmtId="0" fontId="8" fillId="2" borderId="10" xfId="0" applyFont="1" applyFill="1" applyBorder="1"/>
    <xf numFmtId="0" fontId="8" fillId="2" borderId="12" xfId="0" applyFont="1" applyFill="1" applyBorder="1"/>
    <xf numFmtId="0" fontId="7" fillId="0" borderId="11" xfId="0" applyFont="1" applyFill="1" applyBorder="1"/>
    <xf numFmtId="0" fontId="7" fillId="0" borderId="10" xfId="0" applyFont="1" applyFill="1" applyBorder="1"/>
    <xf numFmtId="0" fontId="0" fillId="0" borderId="10" xfId="0" applyFont="1" applyFill="1" applyBorder="1"/>
    <xf numFmtId="0" fontId="0" fillId="0" borderId="10" xfId="0" applyNumberFormat="1" applyFont="1" applyFill="1" applyBorder="1"/>
    <xf numFmtId="0" fontId="0" fillId="0" borderId="12" xfId="0" applyNumberFormat="1" applyFont="1" applyFill="1" applyBorder="1"/>
  </cellXfs>
  <cellStyles count="2">
    <cellStyle name="Comma" xfId="1" builtinId="3"/>
    <cellStyle name="Normal" xfId="0" builtinId="0"/>
  </cellStyles>
  <dxfs count="1">
    <dxf>
      <font>
        <name val="Candar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182880</xdr:colOff>
      <xdr:row>0</xdr:row>
      <xdr:rowOff>152400</xdr:rowOff>
    </xdr:from>
    <xdr:to>
      <xdr:col>15</xdr:col>
      <xdr:colOff>46078</xdr:colOff>
      <xdr:row>5</xdr:row>
      <xdr:rowOff>137238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9300" y="152400"/>
          <a:ext cx="4130398" cy="899238"/>
        </a:xfrm>
        <a:prstGeom prst="rect">
          <a:avLst/>
        </a:prstGeom>
      </xdr:spPr>
    </xdr:pic>
    <xdr:clientData/>
  </xdr:twoCellAnchor>
  <xdr:twoCellAnchor editAs="oneCell">
    <xdr:from>
      <xdr:col>8</xdr:col>
      <xdr:colOff>160020</xdr:colOff>
      <xdr:row>5</xdr:row>
      <xdr:rowOff>175260</xdr:rowOff>
    </xdr:from>
    <xdr:to>
      <xdr:col>12</xdr:col>
      <xdr:colOff>564126</xdr:colOff>
      <xdr:row>18</xdr:row>
      <xdr:rowOff>137363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06440" y="1089660"/>
          <a:ext cx="2842506" cy="2339543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6</xdr:row>
      <xdr:rowOff>0</xdr:rowOff>
    </xdr:from>
    <xdr:to>
      <xdr:col>17</xdr:col>
      <xdr:colOff>533653</xdr:colOff>
      <xdr:row>19</xdr:row>
      <xdr:rowOff>114516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47760" y="1097280"/>
          <a:ext cx="2918713" cy="24919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236220</xdr:colOff>
      <xdr:row>4</xdr:row>
      <xdr:rowOff>0</xdr:rowOff>
    </xdr:from>
    <xdr:to>
      <xdr:col>7</xdr:col>
      <xdr:colOff>1204158</xdr:colOff>
      <xdr:row>25</xdr:row>
      <xdr:rowOff>145125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8580" y="731520"/>
          <a:ext cx="2286198" cy="3985605"/>
        </a:xfrm>
        <a:prstGeom prst="rect">
          <a:avLst/>
        </a:prstGeom>
        <a:ln w="38100">
          <a:solidFill>
            <a:srgbClr val="002060"/>
          </a:solidFill>
        </a:ln>
      </xdr:spPr>
    </xdr:pic>
    <xdr:clientData/>
  </xdr:twoCellAnchor>
  <xdr:twoCellAnchor editAs="oneCell">
    <xdr:from>
      <xdr:col>7</xdr:col>
      <xdr:colOff>1295400</xdr:colOff>
      <xdr:row>9</xdr:row>
      <xdr:rowOff>53340</xdr:rowOff>
    </xdr:from>
    <xdr:to>
      <xdr:col>10</xdr:col>
      <xdr:colOff>68816</xdr:colOff>
      <xdr:row>25</xdr:row>
      <xdr:rowOff>160283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6020" y="1699260"/>
          <a:ext cx="2728196" cy="3033023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822960</xdr:colOff>
      <xdr:row>1</xdr:row>
      <xdr:rowOff>15240</xdr:rowOff>
    </xdr:from>
    <xdr:to>
      <xdr:col>6</xdr:col>
      <xdr:colOff>297477</xdr:colOff>
      <xdr:row>23</xdr:row>
      <xdr:rowOff>15589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198120"/>
          <a:ext cx="3429297" cy="4023709"/>
        </a:xfrm>
        <a:prstGeom prst="rect">
          <a:avLst/>
        </a:prstGeom>
        <a:ln w="28575">
          <a:solidFill>
            <a:srgbClr val="002060"/>
          </a:solidFill>
        </a:ln>
      </xdr:spPr>
    </xdr:pic>
    <xdr:clientData/>
  </xdr:twoCellAnchor>
  <xdr:twoCellAnchor editAs="oneCell">
    <xdr:from>
      <xdr:col>6</xdr:col>
      <xdr:colOff>396240</xdr:colOff>
      <xdr:row>0</xdr:row>
      <xdr:rowOff>22860</xdr:rowOff>
    </xdr:from>
    <xdr:to>
      <xdr:col>9</xdr:col>
      <xdr:colOff>762374</xdr:colOff>
      <xdr:row>27</xdr:row>
      <xdr:rowOff>23288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9160" y="22860"/>
          <a:ext cx="4320914" cy="4938188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281940</xdr:colOff>
      <xdr:row>2</xdr:row>
      <xdr:rowOff>12840</xdr:rowOff>
    </xdr:from>
    <xdr:to>
      <xdr:col>15</xdr:col>
      <xdr:colOff>236700</xdr:colOff>
      <xdr:row>26</xdr:row>
      <xdr:rowOff>23297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4480" y="378600"/>
          <a:ext cx="4831560" cy="43995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106680</xdr:colOff>
      <xdr:row>1</xdr:row>
      <xdr:rowOff>38100</xdr:rowOff>
    </xdr:from>
    <xdr:to>
      <xdr:col>17</xdr:col>
      <xdr:colOff>556755</xdr:colOff>
      <xdr:row>25</xdr:row>
      <xdr:rowOff>46133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799" t="7827"/>
        <a:stretch/>
      </xdr:blipFill>
      <xdr:spPr>
        <a:xfrm>
          <a:off x="6477000" y="220980"/>
          <a:ext cx="5326875" cy="4397153"/>
        </a:xfrm>
        <a:prstGeom prst="rect">
          <a:avLst/>
        </a:prstGeom>
        <a:ln w="28575">
          <a:solidFill>
            <a:srgbClr val="0070C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259080</xdr:colOff>
      <xdr:row>0</xdr:row>
      <xdr:rowOff>22860</xdr:rowOff>
    </xdr:from>
    <xdr:to>
      <xdr:col>10</xdr:col>
      <xdr:colOff>472824</xdr:colOff>
      <xdr:row>27</xdr:row>
      <xdr:rowOff>61391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2540" y="22860"/>
          <a:ext cx="4427604" cy="49762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441960</xdr:colOff>
      <xdr:row>1</xdr:row>
      <xdr:rowOff>77326</xdr:rowOff>
    </xdr:from>
    <xdr:to>
      <xdr:col>12</xdr:col>
      <xdr:colOff>107055</xdr:colOff>
      <xdr:row>26</xdr:row>
      <xdr:rowOff>53773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5300" y="260206"/>
          <a:ext cx="3932295" cy="454844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289560</xdr:colOff>
      <xdr:row>3</xdr:row>
      <xdr:rowOff>114300</xdr:rowOff>
    </xdr:from>
    <xdr:to>
      <xdr:col>25</xdr:col>
      <xdr:colOff>46333</xdr:colOff>
      <xdr:row>19</xdr:row>
      <xdr:rowOff>122174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3420" y="662940"/>
          <a:ext cx="7071973" cy="2933954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7</xdr:row>
      <xdr:rowOff>15240</xdr:rowOff>
    </xdr:from>
    <xdr:to>
      <xdr:col>24</xdr:col>
      <xdr:colOff>251720</xdr:colOff>
      <xdr:row>19</xdr:row>
      <xdr:rowOff>122119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86260" y="1295400"/>
          <a:ext cx="2994920" cy="230143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358140</xdr:colOff>
      <xdr:row>22</xdr:row>
      <xdr:rowOff>129540</xdr:rowOff>
    </xdr:from>
    <xdr:to>
      <xdr:col>24</xdr:col>
      <xdr:colOff>23306</xdr:colOff>
      <xdr:row>39</xdr:row>
      <xdr:rowOff>91706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45140" y="4152900"/>
          <a:ext cx="5151566" cy="3071126"/>
        </a:xfrm>
        <a:prstGeom prst="rect">
          <a:avLst/>
        </a:prstGeom>
      </xdr:spPr>
    </xdr:pic>
    <xdr:clientData/>
  </xdr:twoCellAnchor>
  <xdr:twoCellAnchor editAs="oneCell">
    <xdr:from>
      <xdr:col>11</xdr:col>
      <xdr:colOff>388620</xdr:colOff>
      <xdr:row>0</xdr:row>
      <xdr:rowOff>0</xdr:rowOff>
    </xdr:from>
    <xdr:to>
      <xdr:col>15</xdr:col>
      <xdr:colOff>358349</xdr:colOff>
      <xdr:row>13</xdr:row>
      <xdr:rowOff>114516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7220" y="0"/>
          <a:ext cx="2408129" cy="2491956"/>
        </a:xfrm>
        <a:prstGeom prst="rect">
          <a:avLst/>
        </a:prstGeom>
      </xdr:spPr>
    </xdr:pic>
    <xdr:clientData/>
  </xdr:twoCellAnchor>
  <xdr:twoCellAnchor editAs="oneCell">
    <xdr:from>
      <xdr:col>14</xdr:col>
      <xdr:colOff>297180</xdr:colOff>
      <xdr:row>5</xdr:row>
      <xdr:rowOff>76200</xdr:rowOff>
    </xdr:from>
    <xdr:to>
      <xdr:col>22</xdr:col>
      <xdr:colOff>541464</xdr:colOff>
      <xdr:row>22</xdr:row>
      <xdr:rowOff>53607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74580" y="990600"/>
          <a:ext cx="5121084" cy="308636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Pivot%20Table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IVRAJ SHINDE" refreshedDate="46201.776212384262" createdVersion="6" refreshedVersion="6" minRefreshableVersion="3" recordCount="53">
  <cacheSource type="worksheet">
    <worksheetSource ref="A1:M54" sheet="RawDATA"/>
  </cacheSource>
  <cacheFields count="18">
    <cacheField name="Date" numFmtId="15">
      <sharedItems containsSemiMixedTypes="0" containsNonDate="0" containsDate="1" containsString="0" minDate="2016-02-15T00:00:00" maxDate="2021-09-02T00:00:00" count="53">
        <d v="2016-02-15T00:00:00"/>
        <d v="2016-04-30T00:00:00"/>
        <d v="2016-05-30T00:00:00"/>
        <d v="2016-06-14T00:00:00"/>
        <d v="2016-07-14T00:00:00"/>
        <d v="2016-07-29T00:00:00"/>
        <d v="2016-08-28T00:00:00"/>
        <d v="2016-09-12T00:00:00"/>
        <d v="2016-10-27T00:00:00"/>
        <d v="2016-11-26T00:00:00"/>
        <d v="2017-01-10T00:00:00"/>
        <d v="2017-02-09T00:00:00"/>
        <d v="2017-05-10T00:00:00"/>
        <d v="2017-05-25T00:00:00"/>
        <d v="2017-08-23T00:00:00"/>
        <d v="2017-09-22T00:00:00"/>
        <d v="2017-11-21T00:00:00"/>
        <d v="2018-01-05T00:00:00"/>
        <d v="2018-03-06T00:00:00"/>
        <d v="2018-04-05T00:00:00"/>
        <d v="2018-05-20T00:00:00"/>
        <d v="2018-06-04T00:00:00"/>
        <d v="2018-08-03T00:00:00"/>
        <d v="2018-09-02T00:00:00"/>
        <d v="2018-10-02T00:00:00"/>
        <d v="2019-01-15T00:00:00"/>
        <d v="2019-05-15T00:00:00"/>
        <d v="2019-08-13T00:00:00"/>
        <d v="2019-10-12T00:00:00"/>
        <d v="2019-10-27T00:00:00"/>
        <d v="2019-11-26T00:00:00"/>
        <d v="2020-01-10T00:00:00"/>
        <d v="2020-02-24T00:00:00"/>
        <d v="2020-04-24T00:00:00"/>
        <d v="2020-06-08T00:00:00"/>
        <d v="2020-06-23T00:00:00"/>
        <d v="2020-07-08T00:00:00"/>
        <d v="2020-08-22T00:00:00"/>
        <d v="2020-09-06T00:00:00"/>
        <d v="2020-09-21T00:00:00"/>
        <d v="2020-10-21T00:00:00"/>
        <d v="2020-11-05T00:00:00"/>
        <d v="2020-11-20T00:00:00"/>
        <d v="2020-12-05T00:00:00"/>
        <d v="2020-12-20T00:00:00"/>
        <d v="2021-01-04T00:00:00"/>
        <d v="2021-01-19T00:00:00"/>
        <d v="2021-02-03T00:00:00"/>
        <d v="2021-03-20T00:00:00"/>
        <d v="2021-04-19T00:00:00"/>
        <d v="2021-06-03T00:00:00"/>
        <d v="2021-07-03T00:00:00"/>
        <d v="2021-09-01T00:00:00"/>
      </sharedItems>
      <fieldGroup par="14" base="0">
        <rangePr groupBy="months" startDate="2016-02-15T00:00:00" endDate="2021-09-02T00:00:00"/>
        <groupItems count="14">
          <s v="&lt;15-02-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9-2021"/>
        </groupItems>
      </fieldGroup>
    </cacheField>
    <cacheField name="CUST ID" numFmtId="15">
      <sharedItems count="53">
        <s v="Cust-SS-01"/>
        <s v="Cust-SS-02"/>
        <s v="Cust-SS-03"/>
        <s v="Cust-SS-04"/>
        <s v="Cust-SS-05"/>
        <s v="Cust-SS-06"/>
        <s v="Cust-SS-07"/>
        <s v="Cust-SS-08"/>
        <s v="Cust-SS-09"/>
        <s v="Cust-SS-10"/>
        <s v="Cust-SS-11"/>
        <s v="Cust-SS-12"/>
        <s v="Cust-SS-13"/>
        <s v="Cust-SS-14"/>
        <s v="Cust-SS-15"/>
        <s v="Cust-SS-16"/>
        <s v="Cust-SS-17"/>
        <s v="Cust-SS-18"/>
        <s v="Cust-SS-19"/>
        <s v="Cust-SS-20"/>
        <s v="Cust-SS-21"/>
        <s v="Cust-SS-22"/>
        <s v="Cust-SS-23"/>
        <s v="Cust-SS-24"/>
        <s v="Cust-SS-25"/>
        <s v="Cust-SS-26"/>
        <s v="Cust-SS-27"/>
        <s v="Cust-SS-28"/>
        <s v="Cust-SS-29"/>
        <s v="Cust-SS-30"/>
        <s v="Cust-SS-31"/>
        <s v="Cust-SS-32"/>
        <s v="Cust-SS-33"/>
        <s v="Cust-SS-34"/>
        <s v="Cust-SS-35"/>
        <s v="Cust-SS-36"/>
        <s v="Cust-SS-37"/>
        <s v="Cust-SS-38"/>
        <s v="Cust-SS-39"/>
        <s v="Cust-SS-40"/>
        <s v="Cust-SS-41"/>
        <s v="Cust-SS-42"/>
        <s v="Cust-SS-43"/>
        <s v="Cust-SS-44"/>
        <s v="Cust-SS-45"/>
        <s v="Cust-SS-46"/>
        <s v="Cust-SS-47"/>
        <s v="Cust-SS-48"/>
        <s v="Cust-SS-49"/>
        <s v="Cust-SS-50"/>
        <s v="Cust-SS-51"/>
        <s v="Cust-SS-52"/>
        <s v="Cust-SS-53"/>
      </sharedItems>
    </cacheField>
    <cacheField name="Sales ID" numFmtId="15">
      <sharedItems count="15">
        <s v="PR-S-13"/>
        <s v="PR-S-11"/>
        <s v="PR-S-09"/>
        <s v="PR-S-02"/>
        <s v="PR-S-14"/>
        <s v="PR-S-01"/>
        <s v="PR-S-15"/>
        <s v="PR-S-06"/>
        <s v="PR-S-07"/>
        <s v="PR-S-08"/>
        <s v="PR-S-03"/>
        <s v="PR-S-12"/>
        <s v="PR-S-05"/>
        <s v="PR-S-10"/>
        <s v="PR-S-04"/>
      </sharedItems>
    </cacheField>
    <cacheField name="country" numFmtId="15">
      <sharedItems count="2">
        <s v="usa"/>
        <s v="canada"/>
      </sharedItems>
    </cacheField>
    <cacheField name="Region" numFmtId="15">
      <sharedItems count="3">
        <s v="north"/>
        <s v="west"/>
        <s v="east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50"/>
    </cacheField>
    <cacheField name="maritalStatus" numFmtId="0">
      <sharedItems count="4">
        <s v="Single"/>
        <s v="Married partner"/>
        <s v="Divorced"/>
        <s v="Unmarried partner"/>
      </sharedItems>
    </cacheField>
    <cacheField name="has_children" numFmtId="0">
      <sharedItems count="2">
        <s v="No"/>
        <s v="Yes"/>
      </sharedItems>
    </cacheField>
    <cacheField name="education" numFmtId="0">
      <sharedItems count="5">
        <s v="Bachelors degree"/>
        <s v="Associates degree"/>
        <s v="Masters or Doctorate"/>
        <s v="Some college"/>
        <s v="High School Graduate"/>
      </sharedItems>
    </cacheField>
    <cacheField name="occupation" numFmtId="0">
      <sharedItems count="7">
        <s v="Computer &amp; Mathematical"/>
        <s v="Architecture &amp; Engineering"/>
        <s v="Education&amp;Training&amp;Library"/>
        <s v="Arts, Design, Sports, Media"/>
        <s v="Community &amp; Social Services"/>
        <s v="Business &amp; Financial"/>
        <s v="Building &amp; Grounds Cleaning &amp; Maintenance"/>
      </sharedItems>
    </cacheField>
    <cacheField name="Cost" numFmtId="0">
      <sharedItems containsSemiMixedTypes="0" containsString="0" containsNumber="1" containsInteger="1" minValue="100" maxValue="490"/>
    </cacheField>
    <cacheField name="Sale" numFmtId="0">
      <sharedItems containsSemiMixedTypes="0" containsString="0" containsNumber="1" containsInteger="1" minValue="140" maxValue="555"/>
    </cacheField>
    <cacheField name="Quarters" numFmtId="0" databaseField="0">
      <fieldGroup base="0">
        <rangePr groupBy="quarters" startDate="2016-02-15T00:00:00" endDate="2021-09-02T00:00:00"/>
        <groupItems count="6">
          <s v="&lt;15-02-2016"/>
          <s v="Qtr1"/>
          <s v="Qtr2"/>
          <s v="Qtr3"/>
          <s v="Qtr4"/>
          <s v="&gt;02-09-2021"/>
        </groupItems>
      </fieldGroup>
    </cacheField>
    <cacheField name="Years" numFmtId="0" databaseField="0">
      <fieldGroup base="0">
        <rangePr groupBy="years" startDate="2016-02-15T00:00:00" endDate="2021-09-02T00:00:00"/>
        <groupItems count="8">
          <s v="&lt;15-02-2016"/>
          <s v="2016"/>
          <s v="2017"/>
          <s v="2018"/>
          <s v="2019"/>
          <s v="2020"/>
          <s v="2021"/>
          <s v="&gt;02-09-2021"/>
        </groupItems>
      </fieldGroup>
    </cacheField>
    <cacheField name="incentives" numFmtId="0" formula="Sale*1%" databaseField="0"/>
    <cacheField name="Field1" numFmtId="0" formula="Sale*1%" databaseField="0"/>
    <cacheField name="Incentives02" numFmtId="0" formula="IF(Sale&gt;1000,Sale*5%,Sale*1%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HIVRAJ SHINDE" refreshedDate="46201.80179409722" createdVersion="6" refreshedVersion="6" minRefreshableVersion="3" recordCount="16">
  <cacheSource type="worksheet">
    <worksheetSource ref="A1:E17" sheet="DynamicRangeUsingTable" r:id="rId2"/>
  </cacheSource>
  <cacheFields count="5">
    <cacheField name="Country" numFmtId="0">
      <sharedItems count="4">
        <s v="canada"/>
        <s v="usa"/>
        <s v="sdf"/>
        <s v="asdf"/>
      </sharedItems>
    </cacheField>
    <cacheField name="Region" numFmtId="0">
      <sharedItems containsBlank="1" count="4">
        <s v="west"/>
        <s v="east"/>
        <s v="north"/>
        <m/>
      </sharedItems>
    </cacheField>
    <cacheField name="Maritial Status" numFmtId="0">
      <sharedItems containsBlank="1"/>
    </cacheField>
    <cacheField name="Sale" numFmtId="0">
      <sharedItems containsString="0" containsBlank="1" containsNumber="1" containsInteger="1" minValue="162" maxValue="3690"/>
    </cacheField>
    <cacheField name="Cost" numFmtId="0">
      <sharedItems containsString="0" containsBlank="1" containsNumber="1" containsInteger="1" minValue="107" maxValue="29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HIVRAJ SHINDE" refreshedDate="46201.804984027774" createdVersion="6" refreshedVersion="6" minRefreshableVersion="3" recordCount="14">
  <cacheSource type="worksheet">
    <worksheetSource name="DYNA01Range"/>
  </cacheSource>
  <cacheFields count="5">
    <cacheField name="Country" numFmtId="0">
      <sharedItems count="4">
        <s v="canada"/>
        <s v="usa"/>
        <s v="sdf" u="1"/>
        <s v="asdf" u="1"/>
      </sharedItems>
    </cacheField>
    <cacheField name="Region" numFmtId="0">
      <sharedItems containsBlank="1" count="4">
        <s v="west"/>
        <s v="east"/>
        <s v="north"/>
        <m u="1"/>
      </sharedItems>
    </cacheField>
    <cacheField name="Maritial Status" numFmtId="0">
      <sharedItems/>
    </cacheField>
    <cacheField name="Sale" numFmtId="0">
      <sharedItems containsSemiMixedTypes="0" containsString="0" containsNumber="1" containsInteger="1" minValue="162" maxValue="3690"/>
    </cacheField>
    <cacheField name="Cost" numFmtId="0">
      <sharedItems containsSemiMixedTypes="0" containsString="0" containsNumber="1" containsInteger="1" minValue="107" maxValue="29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">
  <r>
    <x v="0"/>
    <x v="0"/>
    <x v="0"/>
    <x v="0"/>
    <x v="0"/>
    <x v="0"/>
    <n v="26"/>
    <x v="0"/>
    <x v="0"/>
    <x v="0"/>
    <x v="0"/>
    <n v="320"/>
    <n v="371"/>
  </r>
  <r>
    <x v="1"/>
    <x v="1"/>
    <x v="1"/>
    <x v="1"/>
    <x v="1"/>
    <x v="1"/>
    <n v="26"/>
    <x v="1"/>
    <x v="1"/>
    <x v="0"/>
    <x v="0"/>
    <n v="490"/>
    <n v="533"/>
  </r>
  <r>
    <x v="2"/>
    <x v="2"/>
    <x v="0"/>
    <x v="0"/>
    <x v="2"/>
    <x v="0"/>
    <n v="36"/>
    <x v="2"/>
    <x v="0"/>
    <x v="1"/>
    <x v="0"/>
    <n v="464"/>
    <n v="555"/>
  </r>
  <r>
    <x v="3"/>
    <x v="3"/>
    <x v="2"/>
    <x v="0"/>
    <x v="1"/>
    <x v="1"/>
    <n v="41"/>
    <x v="1"/>
    <x v="0"/>
    <x v="2"/>
    <x v="0"/>
    <n v="100"/>
    <n v="199"/>
  </r>
  <r>
    <x v="4"/>
    <x v="4"/>
    <x v="3"/>
    <x v="0"/>
    <x v="2"/>
    <x v="1"/>
    <n v="21"/>
    <x v="0"/>
    <x v="0"/>
    <x v="0"/>
    <x v="1"/>
    <n v="105"/>
    <n v="140"/>
  </r>
  <r>
    <x v="5"/>
    <x v="5"/>
    <x v="4"/>
    <x v="1"/>
    <x v="1"/>
    <x v="1"/>
    <n v="50"/>
    <x v="1"/>
    <x v="1"/>
    <x v="2"/>
    <x v="2"/>
    <n v="263"/>
    <n v="354"/>
  </r>
  <r>
    <x v="6"/>
    <x v="6"/>
    <x v="5"/>
    <x v="0"/>
    <x v="0"/>
    <x v="0"/>
    <n v="21"/>
    <x v="0"/>
    <x v="0"/>
    <x v="0"/>
    <x v="3"/>
    <n v="280"/>
    <n v="360"/>
  </r>
  <r>
    <x v="7"/>
    <x v="7"/>
    <x v="6"/>
    <x v="1"/>
    <x v="1"/>
    <x v="1"/>
    <n v="41"/>
    <x v="0"/>
    <x v="0"/>
    <x v="3"/>
    <x v="3"/>
    <n v="409"/>
    <n v="441"/>
  </r>
  <r>
    <x v="8"/>
    <x v="8"/>
    <x v="7"/>
    <x v="0"/>
    <x v="2"/>
    <x v="1"/>
    <n v="26"/>
    <x v="1"/>
    <x v="1"/>
    <x v="0"/>
    <x v="0"/>
    <n v="354"/>
    <n v="384"/>
  </r>
  <r>
    <x v="9"/>
    <x v="9"/>
    <x v="8"/>
    <x v="0"/>
    <x v="1"/>
    <x v="0"/>
    <n v="31"/>
    <x v="0"/>
    <x v="0"/>
    <x v="0"/>
    <x v="4"/>
    <n v="107"/>
    <n v="194"/>
  </r>
  <r>
    <x v="10"/>
    <x v="10"/>
    <x v="3"/>
    <x v="0"/>
    <x v="2"/>
    <x v="0"/>
    <n v="31"/>
    <x v="3"/>
    <x v="0"/>
    <x v="2"/>
    <x v="0"/>
    <n v="165"/>
    <n v="259"/>
  </r>
  <r>
    <x v="11"/>
    <x v="11"/>
    <x v="9"/>
    <x v="1"/>
    <x v="1"/>
    <x v="1"/>
    <n v="26"/>
    <x v="1"/>
    <x v="1"/>
    <x v="0"/>
    <x v="0"/>
    <n v="290"/>
    <n v="367"/>
  </r>
  <r>
    <x v="12"/>
    <x v="12"/>
    <x v="10"/>
    <x v="0"/>
    <x v="0"/>
    <x v="1"/>
    <n v="41"/>
    <x v="1"/>
    <x v="1"/>
    <x v="3"/>
    <x v="5"/>
    <n v="158"/>
    <n v="256"/>
  </r>
  <r>
    <x v="13"/>
    <x v="13"/>
    <x v="7"/>
    <x v="1"/>
    <x v="1"/>
    <x v="0"/>
    <n v="31"/>
    <x v="0"/>
    <x v="0"/>
    <x v="1"/>
    <x v="3"/>
    <n v="445"/>
    <n v="478"/>
  </r>
  <r>
    <x v="14"/>
    <x v="14"/>
    <x v="11"/>
    <x v="0"/>
    <x v="2"/>
    <x v="1"/>
    <n v="26"/>
    <x v="1"/>
    <x v="0"/>
    <x v="0"/>
    <x v="0"/>
    <n v="242"/>
    <n v="299"/>
  </r>
  <r>
    <x v="15"/>
    <x v="15"/>
    <x v="12"/>
    <x v="0"/>
    <x v="1"/>
    <x v="0"/>
    <n v="31"/>
    <x v="1"/>
    <x v="0"/>
    <x v="3"/>
    <x v="0"/>
    <n v="292"/>
    <n v="376"/>
  </r>
  <r>
    <x v="16"/>
    <x v="16"/>
    <x v="1"/>
    <x v="0"/>
    <x v="2"/>
    <x v="0"/>
    <n v="36"/>
    <x v="2"/>
    <x v="0"/>
    <x v="1"/>
    <x v="0"/>
    <n v="477"/>
    <n v="546"/>
  </r>
  <r>
    <x v="17"/>
    <x v="17"/>
    <x v="1"/>
    <x v="1"/>
    <x v="1"/>
    <x v="0"/>
    <n v="50"/>
    <x v="0"/>
    <x v="0"/>
    <x v="2"/>
    <x v="2"/>
    <n v="446"/>
    <n v="490"/>
  </r>
  <r>
    <x v="18"/>
    <x v="18"/>
    <x v="0"/>
    <x v="0"/>
    <x v="0"/>
    <x v="1"/>
    <n v="41"/>
    <x v="1"/>
    <x v="1"/>
    <x v="2"/>
    <x v="2"/>
    <n v="379"/>
    <n v="468"/>
  </r>
  <r>
    <x v="19"/>
    <x v="19"/>
    <x v="13"/>
    <x v="1"/>
    <x v="1"/>
    <x v="1"/>
    <n v="26"/>
    <x v="1"/>
    <x v="0"/>
    <x v="2"/>
    <x v="4"/>
    <n v="232"/>
    <n v="310"/>
  </r>
  <r>
    <x v="20"/>
    <x v="20"/>
    <x v="0"/>
    <x v="0"/>
    <x v="2"/>
    <x v="1"/>
    <n v="41"/>
    <x v="1"/>
    <x v="1"/>
    <x v="2"/>
    <x v="2"/>
    <n v="239"/>
    <n v="273"/>
  </r>
  <r>
    <x v="21"/>
    <x v="21"/>
    <x v="9"/>
    <x v="0"/>
    <x v="1"/>
    <x v="0"/>
    <n v="36"/>
    <x v="1"/>
    <x v="1"/>
    <x v="2"/>
    <x v="5"/>
    <n v="325"/>
    <n v="389"/>
  </r>
  <r>
    <x v="22"/>
    <x v="22"/>
    <x v="3"/>
    <x v="0"/>
    <x v="2"/>
    <x v="1"/>
    <n v="50"/>
    <x v="1"/>
    <x v="1"/>
    <x v="3"/>
    <x v="0"/>
    <n v="437"/>
    <n v="512"/>
  </r>
  <r>
    <x v="23"/>
    <x v="23"/>
    <x v="13"/>
    <x v="1"/>
    <x v="1"/>
    <x v="1"/>
    <n v="31"/>
    <x v="1"/>
    <x v="1"/>
    <x v="2"/>
    <x v="2"/>
    <n v="228"/>
    <n v="321"/>
  </r>
  <r>
    <x v="24"/>
    <x v="24"/>
    <x v="14"/>
    <x v="0"/>
    <x v="0"/>
    <x v="1"/>
    <n v="36"/>
    <x v="3"/>
    <x v="1"/>
    <x v="3"/>
    <x v="6"/>
    <n v="285"/>
    <n v="366"/>
  </r>
  <r>
    <x v="25"/>
    <x v="25"/>
    <x v="9"/>
    <x v="1"/>
    <x v="1"/>
    <x v="0"/>
    <n v="36"/>
    <x v="0"/>
    <x v="0"/>
    <x v="2"/>
    <x v="2"/>
    <n v="196"/>
    <n v="251"/>
  </r>
  <r>
    <x v="26"/>
    <x v="26"/>
    <x v="14"/>
    <x v="0"/>
    <x v="2"/>
    <x v="0"/>
    <n v="50"/>
    <x v="1"/>
    <x v="1"/>
    <x v="3"/>
    <x v="2"/>
    <n v="201"/>
    <n v="292"/>
  </r>
  <r>
    <x v="27"/>
    <x v="27"/>
    <x v="3"/>
    <x v="0"/>
    <x v="1"/>
    <x v="1"/>
    <n v="21"/>
    <x v="3"/>
    <x v="0"/>
    <x v="0"/>
    <x v="2"/>
    <n v="196"/>
    <n v="251"/>
  </r>
  <r>
    <x v="28"/>
    <x v="28"/>
    <x v="4"/>
    <x v="0"/>
    <x v="2"/>
    <x v="0"/>
    <n v="31"/>
    <x v="1"/>
    <x v="0"/>
    <x v="3"/>
    <x v="0"/>
    <n v="196"/>
    <n v="283"/>
  </r>
  <r>
    <x v="29"/>
    <x v="29"/>
    <x v="10"/>
    <x v="1"/>
    <x v="1"/>
    <x v="0"/>
    <n v="50"/>
    <x v="1"/>
    <x v="1"/>
    <x v="0"/>
    <x v="2"/>
    <n v="287"/>
    <n v="376"/>
  </r>
  <r>
    <x v="30"/>
    <x v="30"/>
    <x v="9"/>
    <x v="0"/>
    <x v="0"/>
    <x v="1"/>
    <n v="21"/>
    <x v="3"/>
    <x v="0"/>
    <x v="3"/>
    <x v="2"/>
    <n v="275"/>
    <n v="346"/>
  </r>
  <r>
    <x v="31"/>
    <x v="31"/>
    <x v="3"/>
    <x v="1"/>
    <x v="1"/>
    <x v="0"/>
    <n v="31"/>
    <x v="1"/>
    <x v="1"/>
    <x v="3"/>
    <x v="3"/>
    <n v="339"/>
    <n v="402"/>
  </r>
  <r>
    <x v="32"/>
    <x v="32"/>
    <x v="12"/>
    <x v="0"/>
    <x v="2"/>
    <x v="1"/>
    <n v="21"/>
    <x v="0"/>
    <x v="0"/>
    <x v="0"/>
    <x v="0"/>
    <n v="442"/>
    <n v="485"/>
  </r>
  <r>
    <x v="33"/>
    <x v="33"/>
    <x v="5"/>
    <x v="0"/>
    <x v="1"/>
    <x v="0"/>
    <n v="36"/>
    <x v="1"/>
    <x v="1"/>
    <x v="0"/>
    <x v="2"/>
    <n v="171"/>
    <n v="262"/>
  </r>
  <r>
    <x v="34"/>
    <x v="34"/>
    <x v="8"/>
    <x v="0"/>
    <x v="2"/>
    <x v="1"/>
    <n v="31"/>
    <x v="1"/>
    <x v="1"/>
    <x v="0"/>
    <x v="0"/>
    <n v="479"/>
    <n v="555"/>
  </r>
  <r>
    <x v="35"/>
    <x v="35"/>
    <x v="2"/>
    <x v="1"/>
    <x v="1"/>
    <x v="1"/>
    <n v="26"/>
    <x v="1"/>
    <x v="1"/>
    <x v="0"/>
    <x v="0"/>
    <n v="171"/>
    <n v="262"/>
  </r>
  <r>
    <x v="36"/>
    <x v="36"/>
    <x v="4"/>
    <x v="0"/>
    <x v="0"/>
    <x v="0"/>
    <n v="41"/>
    <x v="1"/>
    <x v="1"/>
    <x v="2"/>
    <x v="0"/>
    <n v="260"/>
    <n v="340"/>
  </r>
  <r>
    <x v="37"/>
    <x v="37"/>
    <x v="9"/>
    <x v="1"/>
    <x v="1"/>
    <x v="0"/>
    <n v="31"/>
    <x v="2"/>
    <x v="1"/>
    <x v="4"/>
    <x v="5"/>
    <n v="107"/>
    <n v="162"/>
  </r>
  <r>
    <x v="38"/>
    <x v="38"/>
    <x v="10"/>
    <x v="0"/>
    <x v="2"/>
    <x v="1"/>
    <n v="36"/>
    <x v="3"/>
    <x v="1"/>
    <x v="3"/>
    <x v="6"/>
    <n v="262"/>
    <n v="325"/>
  </r>
  <r>
    <x v="39"/>
    <x v="39"/>
    <x v="5"/>
    <x v="0"/>
    <x v="1"/>
    <x v="0"/>
    <n v="31"/>
    <x v="1"/>
    <x v="1"/>
    <x v="3"/>
    <x v="3"/>
    <n v="411"/>
    <n v="491"/>
  </r>
  <r>
    <x v="40"/>
    <x v="40"/>
    <x v="14"/>
    <x v="0"/>
    <x v="2"/>
    <x v="0"/>
    <n v="26"/>
    <x v="0"/>
    <x v="0"/>
    <x v="0"/>
    <x v="2"/>
    <n v="176"/>
    <n v="261"/>
  </r>
  <r>
    <x v="41"/>
    <x v="41"/>
    <x v="0"/>
    <x v="1"/>
    <x v="1"/>
    <x v="0"/>
    <n v="50"/>
    <x v="0"/>
    <x v="0"/>
    <x v="2"/>
    <x v="2"/>
    <n v="423"/>
    <n v="512"/>
  </r>
  <r>
    <x v="42"/>
    <x v="42"/>
    <x v="4"/>
    <x v="0"/>
    <x v="0"/>
    <x v="1"/>
    <n v="21"/>
    <x v="3"/>
    <x v="0"/>
    <x v="0"/>
    <x v="5"/>
    <n v="395"/>
    <n v="483"/>
  </r>
  <r>
    <x v="43"/>
    <x v="43"/>
    <x v="0"/>
    <x v="1"/>
    <x v="1"/>
    <x v="0"/>
    <n v="41"/>
    <x v="1"/>
    <x v="1"/>
    <x v="3"/>
    <x v="2"/>
    <n v="360"/>
    <n v="433"/>
  </r>
  <r>
    <x v="44"/>
    <x v="44"/>
    <x v="1"/>
    <x v="0"/>
    <x v="2"/>
    <x v="1"/>
    <n v="21"/>
    <x v="3"/>
    <x v="0"/>
    <x v="3"/>
    <x v="2"/>
    <n v="118"/>
    <n v="192"/>
  </r>
  <r>
    <x v="45"/>
    <x v="45"/>
    <x v="2"/>
    <x v="0"/>
    <x v="1"/>
    <x v="1"/>
    <n v="36"/>
    <x v="1"/>
    <x v="0"/>
    <x v="0"/>
    <x v="3"/>
    <n v="204"/>
    <n v="252"/>
  </r>
  <r>
    <x v="46"/>
    <x v="46"/>
    <x v="1"/>
    <x v="0"/>
    <x v="2"/>
    <x v="0"/>
    <n v="41"/>
    <x v="1"/>
    <x v="1"/>
    <x v="0"/>
    <x v="2"/>
    <n v="161"/>
    <n v="242"/>
  </r>
  <r>
    <x v="47"/>
    <x v="47"/>
    <x v="5"/>
    <x v="1"/>
    <x v="1"/>
    <x v="1"/>
    <n v="41"/>
    <x v="1"/>
    <x v="1"/>
    <x v="3"/>
    <x v="5"/>
    <n v="302"/>
    <n v="332"/>
  </r>
  <r>
    <x v="48"/>
    <x v="48"/>
    <x v="4"/>
    <x v="0"/>
    <x v="0"/>
    <x v="0"/>
    <n v="41"/>
    <x v="2"/>
    <x v="1"/>
    <x v="0"/>
    <x v="3"/>
    <n v="386"/>
    <n v="417"/>
  </r>
  <r>
    <x v="49"/>
    <x v="49"/>
    <x v="0"/>
    <x v="1"/>
    <x v="1"/>
    <x v="0"/>
    <n v="50"/>
    <x v="0"/>
    <x v="0"/>
    <x v="2"/>
    <x v="3"/>
    <n v="465"/>
    <n v="549"/>
  </r>
  <r>
    <x v="50"/>
    <x v="50"/>
    <x v="9"/>
    <x v="0"/>
    <x v="2"/>
    <x v="0"/>
    <n v="26"/>
    <x v="0"/>
    <x v="0"/>
    <x v="0"/>
    <x v="0"/>
    <n v="405"/>
    <n v="496"/>
  </r>
  <r>
    <x v="51"/>
    <x v="51"/>
    <x v="14"/>
    <x v="0"/>
    <x v="1"/>
    <x v="0"/>
    <n v="31"/>
    <x v="0"/>
    <x v="0"/>
    <x v="1"/>
    <x v="3"/>
    <n v="142"/>
    <n v="201"/>
  </r>
  <r>
    <x v="52"/>
    <x v="52"/>
    <x v="11"/>
    <x v="0"/>
    <x v="2"/>
    <x v="1"/>
    <n v="41"/>
    <x v="1"/>
    <x v="1"/>
    <x v="2"/>
    <x v="2"/>
    <n v="371"/>
    <n v="4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">
  <r>
    <x v="0"/>
    <x v="0"/>
    <s v="Divorced"/>
    <n v="162"/>
    <n v="107"/>
  </r>
  <r>
    <x v="0"/>
    <x v="0"/>
    <s v="Married partner"/>
    <n v="3690"/>
    <n v="2962"/>
  </r>
  <r>
    <x v="0"/>
    <x v="0"/>
    <s v="Single"/>
    <n v="2721"/>
    <n v="2384"/>
  </r>
  <r>
    <x v="1"/>
    <x v="1"/>
    <s v="Divorced"/>
    <n v="1101"/>
    <n v="941"/>
  </r>
  <r>
    <x v="1"/>
    <x v="1"/>
    <s v="Married partner"/>
    <n v="3295"/>
    <n v="2680"/>
  </r>
  <r>
    <x v="1"/>
    <x v="1"/>
    <s v="Single"/>
    <n v="1382"/>
    <n v="1128"/>
  </r>
  <r>
    <x v="1"/>
    <x v="1"/>
    <s v="Unmarried partner"/>
    <n v="776"/>
    <n v="545"/>
  </r>
  <r>
    <x v="1"/>
    <x v="2"/>
    <s v="Divorced"/>
    <n v="417"/>
    <n v="386"/>
  </r>
  <r>
    <x v="1"/>
    <x v="2"/>
    <s v="Married partner"/>
    <n v="1064"/>
    <n v="797"/>
  </r>
  <r>
    <x v="1"/>
    <x v="2"/>
    <s v="Single"/>
    <n v="731"/>
    <n v="600"/>
  </r>
  <r>
    <x v="1"/>
    <x v="2"/>
    <s v="Unmarried partner"/>
    <n v="1195"/>
    <n v="955"/>
  </r>
  <r>
    <x v="1"/>
    <x v="0"/>
    <s v="Married partner"/>
    <n v="1969"/>
    <n v="1503"/>
  </r>
  <r>
    <x v="1"/>
    <x v="0"/>
    <s v="Single"/>
    <n v="395"/>
    <n v="249"/>
  </r>
  <r>
    <x v="1"/>
    <x v="0"/>
    <s v="Unmarried partner"/>
    <n v="251"/>
    <n v="196"/>
  </r>
  <r>
    <x v="2"/>
    <x v="3"/>
    <m/>
    <m/>
    <m/>
  </r>
  <r>
    <x v="3"/>
    <x v="3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4">
  <r>
    <x v="0"/>
    <x v="0"/>
    <s v="Divorced"/>
    <n v="162"/>
    <n v="107"/>
  </r>
  <r>
    <x v="0"/>
    <x v="0"/>
    <s v="Married partner"/>
    <n v="3690"/>
    <n v="2962"/>
  </r>
  <r>
    <x v="0"/>
    <x v="0"/>
    <s v="Single"/>
    <n v="2721"/>
    <n v="2384"/>
  </r>
  <r>
    <x v="1"/>
    <x v="1"/>
    <s v="Divorced"/>
    <n v="1101"/>
    <n v="941"/>
  </r>
  <r>
    <x v="1"/>
    <x v="1"/>
    <s v="Married partner"/>
    <n v="3295"/>
    <n v="2680"/>
  </r>
  <r>
    <x v="1"/>
    <x v="1"/>
    <s v="Single"/>
    <n v="1382"/>
    <n v="1128"/>
  </r>
  <r>
    <x v="1"/>
    <x v="1"/>
    <s v="Unmarried partner"/>
    <n v="776"/>
    <n v="545"/>
  </r>
  <r>
    <x v="1"/>
    <x v="2"/>
    <s v="Divorced"/>
    <n v="417"/>
    <n v="386"/>
  </r>
  <r>
    <x v="1"/>
    <x v="2"/>
    <s v="Married partner"/>
    <n v="1064"/>
    <n v="797"/>
  </r>
  <r>
    <x v="1"/>
    <x v="2"/>
    <s v="Single"/>
    <n v="731"/>
    <n v="600"/>
  </r>
  <r>
    <x v="1"/>
    <x v="2"/>
    <s v="Unmarried partner"/>
    <n v="1195"/>
    <n v="955"/>
  </r>
  <r>
    <x v="1"/>
    <x v="0"/>
    <s v="Married partner"/>
    <n v="1969"/>
    <n v="1503"/>
  </r>
  <r>
    <x v="1"/>
    <x v="0"/>
    <s v="Single"/>
    <n v="395"/>
    <n v="249"/>
  </r>
  <r>
    <x v="1"/>
    <x v="0"/>
    <s v="Unmarried partner"/>
    <n v="251"/>
    <n v="1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7" firstHeaderRow="1" firstDataRow="2" firstDataCol="1"/>
  <pivotFields count="18"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 defaultSubtotal="0">
      <items count="15">
        <item x="5"/>
        <item x="3"/>
        <item x="10"/>
        <item x="14"/>
        <item x="12"/>
        <item x="7"/>
        <item x="8"/>
        <item x="9"/>
        <item x="2"/>
        <item x="13"/>
        <item x="1"/>
        <item x="11"/>
        <item x="0"/>
        <item x="4"/>
        <item x="6"/>
      </items>
    </pivotField>
    <pivotField axis="axisRow" showAll="0">
      <items count="3">
        <item x="1"/>
        <item x="0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3">
    <i>
      <x/>
    </i>
    <i>
      <x v="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Sale" fld="12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D13" firstHeaderRow="1" firstDataRow="2" firstDataCol="2"/>
  <pivotFields count="18">
    <pivotField compact="0" numFmtId="15" outline="0" showAll="0"/>
    <pivotField compact="0" outline="0" showAll="0"/>
    <pivotField compact="0" outline="0" showAll="0" defaultSubtotal="0">
      <items count="15">
        <item x="5"/>
        <item x="3"/>
        <item x="10"/>
        <item x="14"/>
        <item x="12"/>
        <item x="7"/>
        <item x="8"/>
        <item x="9"/>
        <item x="2"/>
        <item x="13"/>
        <item x="1"/>
        <item x="11"/>
        <item x="0"/>
        <item x="4"/>
        <item x="6"/>
      </items>
    </pivotField>
    <pivotField axis="axisCol" compact="0" outline="0" showAll="0">
      <items count="3">
        <item x="1"/>
        <item x="0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4"/>
    <field x="5"/>
  </rowFields>
  <rowItems count="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</rowItems>
  <colFields count="1">
    <field x="3"/>
  </colFields>
  <colItems count="2">
    <i>
      <x/>
    </i>
    <i>
      <x v="1"/>
    </i>
  </colItems>
  <dataFields count="1">
    <dataField name="Sum of Sal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C18" firstHeaderRow="1" firstDataRow="1" firstDataCol="0"/>
  <pivotFields count="18"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 defaultSubtotal="0">
      <items count="15">
        <item x="5"/>
        <item x="3"/>
        <item x="10"/>
        <item x="14"/>
        <item x="12"/>
        <item x="7"/>
        <item x="8"/>
        <item x="9"/>
        <item x="2"/>
        <item x="13"/>
        <item x="1"/>
        <item x="11"/>
        <item x="0"/>
        <item x="4"/>
        <item x="6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8">
        <item x="0"/>
        <item sd="0" x="1"/>
        <item sd="0" x="2"/>
        <item sd="0" x="3"/>
        <item sd="0" x="4"/>
        <item sd="0" x="5"/>
        <item sd="0" x="6"/>
        <item x="7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mergeItem="1" createdVersion="6" indent="0" compact="0" compactData="0" multipleFieldFilters="0">
  <location ref="A1:B15" firstHeaderRow="1" firstDataRow="1" firstDataCol="2"/>
  <pivotFields count="18">
    <pivotField compact="0" numFmtId="15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15">
        <item x="5"/>
        <item x="3"/>
        <item x="10"/>
        <item x="14"/>
        <item x="12"/>
        <item x="7"/>
        <item x="8"/>
        <item x="9"/>
        <item x="2"/>
        <item x="13"/>
        <item x="1"/>
        <item x="11"/>
        <item x="0"/>
        <item x="4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x="2"/>
        <item x="1"/>
        <item x="0"/>
        <item x="3"/>
      </items>
    </pivotField>
    <pivotField compact="0" outline="0" showAll="0" defaultSubtotal="0"/>
    <pivotField axis="axisRow" compact="0" outline="0" showAll="0" defaultSubtotal="0">
      <items count="5">
        <item x="1"/>
        <item x="0"/>
        <item x="4"/>
        <item x="2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>
      <items count="8">
        <item x="0"/>
        <item sd="0" x="1"/>
        <item sd="0" x="2"/>
        <item sd="0" x="3"/>
        <item sd="0" x="4"/>
        <item sd="0" x="5"/>
        <item sd="0" x="6"/>
        <item x="7"/>
      </items>
    </pivotField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9"/>
  </rowFields>
  <rowItems count="14">
    <i>
      <x/>
      <x/>
    </i>
    <i r="1">
      <x v="1"/>
    </i>
    <i r="1">
      <x v="2"/>
    </i>
    <i>
      <x v="1"/>
      <x v="1"/>
    </i>
    <i r="1">
      <x v="3"/>
    </i>
    <i r="1">
      <x v="4"/>
    </i>
    <i>
      <x v="2"/>
      <x/>
    </i>
    <i r="1">
      <x v="1"/>
    </i>
    <i r="1">
      <x v="3"/>
    </i>
    <i r="1">
      <x v="4"/>
    </i>
    <i>
      <x v="3"/>
      <x v="1"/>
    </i>
    <i r="1">
      <x v="3"/>
    </i>
    <i r="1"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compact="0" compactData="0" gridDropZones="1" multipleFieldFilters="0">
  <location ref="A3:C16" firstHeaderRow="2" firstDataRow="2" firstDataCol="2"/>
  <pivotFields count="18">
    <pivotField compact="0" numFmtId="15" outline="0" showAll="0"/>
    <pivotField compact="0" outline="0" showAll="0"/>
    <pivotField compact="0" outline="0" showAll="0" defaultSubtotal="0">
      <items count="15">
        <item x="5"/>
        <item x="3"/>
        <item x="10"/>
        <item x="14"/>
        <item x="12"/>
        <item x="7"/>
        <item x="8"/>
        <item x="9"/>
        <item x="2"/>
        <item x="13"/>
        <item x="1"/>
        <item x="11"/>
        <item x="0"/>
        <item x="4"/>
        <item x="6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 defaultSubtotal="0"/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8"/>
  </rowFields>
  <rowItems count="12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Sum of Sal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>
  <location ref="A3:E14" firstHeaderRow="1" firstDataRow="2" firstDataCol="1"/>
  <pivotFields count="18">
    <pivotField numFmtId="15" showAll="0"/>
    <pivotField showAll="0"/>
    <pivotField showAll="0" defaultSubtotal="0">
      <items count="15">
        <item x="5"/>
        <item x="3"/>
        <item x="10"/>
        <item x="14"/>
        <item x="12"/>
        <item x="7"/>
        <item x="8"/>
        <item x="9"/>
        <item x="2"/>
        <item x="13"/>
        <item x="1"/>
        <item x="11"/>
        <item x="0"/>
        <item x="4"/>
        <item x="6"/>
      </items>
    </pivotField>
    <pivotField axis="axisRow" showAll="0">
      <items count="3">
        <item x="1"/>
        <item x="0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3"/>
    <field x="7"/>
  </rowFields>
  <rowItems count="10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Sal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pageWrap="2" itemPrintTitles="1" createdVersion="6" showHeaders="0" compact="0" compactData="0" gridDropZones="1" multipleFieldFilters="0">
  <location ref="A6:F15" firstHeaderRow="1" firstDataRow="2" firstDataCol="1" rowPageCount="2" colPageCount="2"/>
  <pivotFields count="18">
    <pivotField compact="0" numFmtId="15" outline="0" showAll="0" defaultSubtotal="0"/>
    <pivotField compact="0" outline="0" showAll="0" defaultSubtotal="0"/>
    <pivotField compact="0" outline="0" showAll="0" defaultSubtotal="0">
      <items count="15">
        <item x="5"/>
        <item x="3"/>
        <item x="10"/>
        <item x="14"/>
        <item x="12"/>
        <item x="7"/>
        <item x="8"/>
        <item x="9"/>
        <item x="2"/>
        <item x="13"/>
        <item x="1"/>
        <item x="11"/>
        <item x="0"/>
        <item x="4"/>
        <item x="6"/>
      </items>
    </pivotField>
    <pivotField axis="axisPage" compact="0" outline="0" multipleItemSelectionAllowed="1" showAll="0" defaultSubtotal="0">
      <items count="2">
        <item x="1"/>
        <item x="0"/>
      </items>
    </pivotField>
    <pivotField compact="0" outline="0" showAll="0" defaultSubtotal="0"/>
    <pivotField axis="axisPage" compact="0" outline="0" multipleItemSelectionAllowed="1" showAll="0" defaultSubtotal="0">
      <items count="2">
        <item x="0"/>
        <item x="1"/>
      </items>
    </pivotField>
    <pivotField compact="0" outline="0" showAll="0" defaultSubtotal="0"/>
    <pivotField axis="axisCol" compact="0" outline="0" showAll="0" defaultSubtotal="0">
      <items count="4">
        <item x="2"/>
        <item x="1"/>
        <item x="0"/>
        <item x="3"/>
      </items>
    </pivotField>
    <pivotField axis="axisPage" compact="0" outline="0" showAll="0" defaultSubtotal="0">
      <items count="2">
        <item x="0"/>
        <item x="1"/>
      </items>
    </pivotField>
    <pivotField axis="axisPage" compact="0" outline="0" showAll="0" defaultSubtotal="0">
      <items count="5">
        <item x="1"/>
        <item x="0"/>
        <item x="4"/>
        <item x="2"/>
        <item x="3"/>
      </items>
    </pivotField>
    <pivotField axis="axisRow" compact="0" outline="0" showAll="0" defaultSubtotal="0">
      <items count="7">
        <item x="1"/>
        <item x="3"/>
        <item x="6"/>
        <item x="5"/>
        <item x="4"/>
        <item x="0"/>
        <item x="2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4">
    <pageField fld="3" hier="-1"/>
    <pageField fld="5" hier="-1"/>
    <pageField fld="8" hier="-1"/>
    <pageField fld="9" hier="-1"/>
  </pageFields>
  <dataFields count="1">
    <dataField name="Sum of Sal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showDrill="0" showDataTips="0" useAutoFormatting="1" itemPrintTitles="1" createdVersion="6" indent="0" outline="1" outlineData="1" multipleFieldFilters="0">
  <location ref="A3:B15" firstHeaderRow="1" firstDataRow="1" firstDataCol="1"/>
  <pivotFields count="18">
    <pivotField numFmtId="15" showAll="0"/>
    <pivotField showAll="0"/>
    <pivotField showAll="0" defaultSubtotal="0">
      <items count="15">
        <item x="5"/>
        <item x="3"/>
        <item x="10"/>
        <item x="14"/>
        <item x="12"/>
        <item x="7"/>
        <item x="8"/>
        <item x="9"/>
        <item x="2"/>
        <item x="13"/>
        <item x="1"/>
        <item x="11"/>
        <item x="0"/>
        <item x="4"/>
        <item x="6"/>
      </items>
    </pivotField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7"/>
    <field x="8"/>
  </rowFields>
  <rowItems count="1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>
      <x v="3"/>
    </i>
    <i r="1">
      <x/>
    </i>
    <i r="1">
      <x v="1"/>
    </i>
    <i t="grand">
      <x/>
    </i>
  </rowItems>
  <colItems count="1">
    <i/>
  </colItems>
  <dataFields count="1">
    <dataField name="Sum of Sal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J6:K11" firstHeaderRow="1" firstDataRow="1" firstDataCol="2"/>
  <pivotFields count="5">
    <pivotField axis="axisRow" compact="0" outline="0" showAll="0" defaultSubtotal="0">
      <items count="4">
        <item x="0"/>
        <item x="1"/>
        <item m="1" x="2"/>
        <item m="1" x="3"/>
      </items>
    </pivotField>
    <pivotField axis="axisRow" compact="0" outline="0" showAll="0" defaultSubtotal="0">
      <items count="4">
        <item x="1"/>
        <item x="2"/>
        <item x="0"/>
        <item m="1" x="3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1"/>
  </rowFields>
  <rowItems count="5">
    <i>
      <x/>
      <x v="2"/>
    </i>
    <i>
      <x v="1"/>
      <x/>
    </i>
    <i r="1">
      <x v="1"/>
    </i>
    <i r="1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compact="0" compactData="0" gridDropZones="1" multipleFieldFilters="0">
  <location ref="I5:K13" firstHeaderRow="2" firstDataRow="2" firstDataCol="2"/>
  <pivotFields count="5"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4">
        <item x="1"/>
        <item x="2"/>
        <item x="0"/>
        <item x="3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2">
    <field x="0"/>
    <field x="1"/>
  </rowFields>
  <rowItems count="7">
    <i>
      <x/>
      <x v="2"/>
    </i>
    <i>
      <x v="1"/>
      <x/>
    </i>
    <i r="1">
      <x v="1"/>
    </i>
    <i r="1">
      <x v="2"/>
    </i>
    <i>
      <x v="2"/>
      <x v="3"/>
    </i>
    <i>
      <x v="3"/>
      <x v="3"/>
    </i>
    <i t="grand">
      <x/>
    </i>
  </rowItems>
  <colItems count="1">
    <i/>
  </colItems>
  <dataFields count="1">
    <dataField name="Sum of Sal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C19" firstHeaderRow="0" firstDataRow="1" firstDataCol="1"/>
  <pivotFields count="18">
    <pivotField compact="0" numFmtId="15" outline="0" showAll="0" defaultSubtotal="0"/>
    <pivotField compact="0" outline="0" showAll="0" defaultSubtota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  <pivotField axis="axisRow" compact="0" outline="0" showAll="0" defaultSubtotal="0">
      <items count="15">
        <item x="5"/>
        <item x="3"/>
        <item x="10"/>
        <item x="14"/>
        <item x="12"/>
        <item x="7"/>
        <item x="8"/>
        <item x="9"/>
        <item x="2"/>
        <item x="13"/>
        <item x="1"/>
        <item x="11"/>
        <item x="0"/>
        <item x="4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" fld="12" baseField="0" baseItem="0"/>
    <dataField name="Sum of Incentives02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G20" sqref="G20"/>
    </sheetView>
  </sheetViews>
  <sheetFormatPr defaultRowHeight="14.4" x14ac:dyDescent="0.3"/>
  <cols>
    <col min="1" max="1" width="49" bestFit="1" customWidth="1"/>
  </cols>
  <sheetData>
    <row r="1" spans="1:1" ht="18" x14ac:dyDescent="0.3">
      <c r="A1" s="2" t="s">
        <v>53</v>
      </c>
    </row>
    <row r="2" spans="1:1" ht="15.6" x14ac:dyDescent="0.3">
      <c r="A2" s="3" t="s">
        <v>58</v>
      </c>
    </row>
    <row r="3" spans="1:1" ht="15.6" x14ac:dyDescent="0.3">
      <c r="A3" s="3" t="s">
        <v>54</v>
      </c>
    </row>
    <row r="4" spans="1:1" ht="15.6" x14ac:dyDescent="0.3">
      <c r="A4" s="3" t="s">
        <v>55</v>
      </c>
    </row>
    <row r="5" spans="1:1" ht="15.6" x14ac:dyDescent="0.3">
      <c r="A5" s="3" t="s">
        <v>56</v>
      </c>
    </row>
    <row r="6" spans="1:1" ht="15.6" x14ac:dyDescent="0.3">
      <c r="A6" s="3" t="s">
        <v>57</v>
      </c>
    </row>
    <row r="7" spans="1:1" ht="15.6" x14ac:dyDescent="0.3">
      <c r="A7" s="4" t="s">
        <v>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>
      <selection activeCell="J13" sqref="J13"/>
    </sheetView>
  </sheetViews>
  <sheetFormatPr defaultRowHeight="15.6" x14ac:dyDescent="0.3"/>
  <cols>
    <col min="1" max="1" width="13.109375" style="20" customWidth="1"/>
    <col min="2" max="2" width="16" style="20" customWidth="1"/>
    <col min="3" max="3" width="5.88671875" style="20" customWidth="1"/>
    <col min="4" max="4" width="5.44140625" style="20" customWidth="1"/>
    <col min="5" max="5" width="11.109375" style="20" customWidth="1"/>
    <col min="6" max="9" width="8.88671875" style="20"/>
    <col min="10" max="10" width="16.44140625" style="20" bestFit="1" customWidth="1"/>
    <col min="11" max="11" width="50.44140625" style="20" bestFit="1" customWidth="1"/>
    <col min="12" max="16384" width="8.88671875" style="20"/>
  </cols>
  <sheetData>
    <row r="3" spans="1:11" x14ac:dyDescent="0.3">
      <c r="A3" s="22" t="s">
        <v>129</v>
      </c>
      <c r="B3" s="22" t="s">
        <v>128</v>
      </c>
      <c r="C3" s="19"/>
      <c r="D3" s="19"/>
      <c r="E3" s="19"/>
    </row>
    <row r="4" spans="1:11" x14ac:dyDescent="0.3">
      <c r="A4" s="22" t="s">
        <v>60</v>
      </c>
      <c r="B4" s="19" t="s">
        <v>70</v>
      </c>
      <c r="C4" s="19" t="s">
        <v>68</v>
      </c>
      <c r="D4" s="19" t="s">
        <v>69</v>
      </c>
      <c r="E4" s="19" t="s">
        <v>59</v>
      </c>
      <c r="J4" s="21" t="s">
        <v>135</v>
      </c>
    </row>
    <row r="5" spans="1:11" x14ac:dyDescent="0.3">
      <c r="A5" s="23" t="s">
        <v>127</v>
      </c>
      <c r="B5" s="24"/>
      <c r="C5" s="24"/>
      <c r="D5" s="24">
        <v>6573</v>
      </c>
      <c r="E5" s="24">
        <v>6573</v>
      </c>
      <c r="J5" s="21" t="s">
        <v>137</v>
      </c>
    </row>
    <row r="6" spans="1:11" x14ac:dyDescent="0.3">
      <c r="A6" s="23" t="s">
        <v>126</v>
      </c>
      <c r="B6" s="24">
        <v>6554</v>
      </c>
      <c r="C6" s="24">
        <v>3407</v>
      </c>
      <c r="D6" s="24">
        <v>2615</v>
      </c>
      <c r="E6" s="24">
        <v>12576</v>
      </c>
      <c r="J6" s="21" t="s">
        <v>139</v>
      </c>
    </row>
    <row r="7" spans="1:11" x14ac:dyDescent="0.3">
      <c r="A7" s="23" t="s">
        <v>59</v>
      </c>
      <c r="B7" s="24">
        <v>6554</v>
      </c>
      <c r="C7" s="24">
        <v>3407</v>
      </c>
      <c r="D7" s="24">
        <v>9188</v>
      </c>
      <c r="E7" s="24">
        <v>19149</v>
      </c>
      <c r="J7" s="21" t="s">
        <v>141</v>
      </c>
    </row>
    <row r="8" spans="1:11" x14ac:dyDescent="0.3">
      <c r="A8"/>
      <c r="B8"/>
      <c r="C8"/>
    </row>
    <row r="9" spans="1:11" x14ac:dyDescent="0.3">
      <c r="A9"/>
      <c r="B9"/>
      <c r="C9"/>
    </row>
    <row r="10" spans="1:11" x14ac:dyDescent="0.3">
      <c r="A10"/>
      <c r="B10"/>
      <c r="C10"/>
    </row>
    <row r="11" spans="1:11" x14ac:dyDescent="0.3">
      <c r="A11"/>
      <c r="B11"/>
      <c r="C11"/>
      <c r="J11" s="21" t="s">
        <v>135</v>
      </c>
      <c r="K11" s="20" t="s">
        <v>136</v>
      </c>
    </row>
    <row r="12" spans="1:11" x14ac:dyDescent="0.3">
      <c r="A12"/>
      <c r="B12"/>
      <c r="C12"/>
      <c r="J12" s="21" t="s">
        <v>137</v>
      </c>
      <c r="K12" s="20" t="s">
        <v>138</v>
      </c>
    </row>
    <row r="13" spans="1:11" x14ac:dyDescent="0.3">
      <c r="A13"/>
      <c r="B13"/>
      <c r="C13"/>
      <c r="J13" s="21" t="s">
        <v>139</v>
      </c>
      <c r="K13" s="20" t="s">
        <v>140</v>
      </c>
    </row>
    <row r="14" spans="1:11" x14ac:dyDescent="0.3">
      <c r="A14"/>
      <c r="B14"/>
      <c r="C14"/>
      <c r="J14" s="21"/>
      <c r="K14" s="20" t="s">
        <v>142</v>
      </c>
    </row>
    <row r="15" spans="1:11" x14ac:dyDescent="0.3">
      <c r="A15"/>
      <c r="B15"/>
      <c r="C15"/>
      <c r="K15" s="20" t="s">
        <v>143</v>
      </c>
    </row>
    <row r="16" spans="1:11" x14ac:dyDescent="0.3">
      <c r="A16"/>
      <c r="B16"/>
      <c r="C16"/>
      <c r="K16" s="20" t="s">
        <v>144</v>
      </c>
    </row>
    <row r="17" spans="1:11" x14ac:dyDescent="0.3">
      <c r="A17"/>
      <c r="B17"/>
      <c r="C17"/>
      <c r="K17" s="20" t="s">
        <v>145</v>
      </c>
    </row>
    <row r="18" spans="1:11" x14ac:dyDescent="0.3">
      <c r="A18"/>
      <c r="B18"/>
      <c r="C18"/>
    </row>
    <row r="19" spans="1:11" x14ac:dyDescent="0.3">
      <c r="A19"/>
      <c r="B19"/>
      <c r="C19"/>
    </row>
    <row r="20" spans="1:11" x14ac:dyDescent="0.3">
      <c r="A20"/>
      <c r="B20"/>
      <c r="C20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3"/>
  <sheetViews>
    <sheetView workbookViewId="0">
      <selection activeCell="C6" sqref="C6"/>
    </sheetView>
  </sheetViews>
  <sheetFormatPr defaultRowHeight="14.4" x14ac:dyDescent="0.3"/>
  <cols>
    <col min="1" max="1" width="12.5546875" customWidth="1"/>
    <col min="2" max="2" width="9.109375" customWidth="1"/>
    <col min="3" max="3" width="9.77734375" customWidth="1"/>
    <col min="4" max="4" width="5" customWidth="1"/>
    <col min="5" max="5" width="10.77734375" bestFit="1" customWidth="1"/>
  </cols>
  <sheetData>
    <row r="3" spans="1:4" x14ac:dyDescent="0.3">
      <c r="A3" s="5" t="s">
        <v>129</v>
      </c>
      <c r="C3" s="5" t="s">
        <v>125</v>
      </c>
    </row>
    <row r="4" spans="1:4" x14ac:dyDescent="0.3">
      <c r="A4" s="5" t="s">
        <v>67</v>
      </c>
      <c r="B4" s="5" t="s">
        <v>6</v>
      </c>
      <c r="C4" t="s">
        <v>127</v>
      </c>
      <c r="D4" t="s">
        <v>126</v>
      </c>
    </row>
    <row r="5" spans="1:4" x14ac:dyDescent="0.3">
      <c r="A5" t="s">
        <v>70</v>
      </c>
      <c r="B5" t="s">
        <v>28</v>
      </c>
      <c r="C5" s="6"/>
      <c r="D5" s="6">
        <v>2934</v>
      </c>
    </row>
    <row r="6" spans="1:4" x14ac:dyDescent="0.3">
      <c r="B6" t="s">
        <v>18</v>
      </c>
      <c r="C6" s="6"/>
      <c r="D6" s="6">
        <v>3620</v>
      </c>
    </row>
    <row r="7" spans="1:4" x14ac:dyDescent="0.3">
      <c r="A7" t="s">
        <v>176</v>
      </c>
      <c r="C7" s="6"/>
      <c r="D7" s="6">
        <v>6554</v>
      </c>
    </row>
    <row r="8" spans="1:4" x14ac:dyDescent="0.3">
      <c r="A8" t="s">
        <v>68</v>
      </c>
      <c r="B8" t="s">
        <v>28</v>
      </c>
      <c r="C8" s="6"/>
      <c r="D8" s="6">
        <v>1488</v>
      </c>
    </row>
    <row r="9" spans="1:4" x14ac:dyDescent="0.3">
      <c r="B9" t="s">
        <v>18</v>
      </c>
      <c r="C9" s="6"/>
      <c r="D9" s="6">
        <v>1919</v>
      </c>
    </row>
    <row r="10" spans="1:4" x14ac:dyDescent="0.3">
      <c r="A10" t="s">
        <v>177</v>
      </c>
      <c r="C10" s="6"/>
      <c r="D10" s="6">
        <v>3407</v>
      </c>
    </row>
    <row r="11" spans="1:4" x14ac:dyDescent="0.3">
      <c r="A11" t="s">
        <v>69</v>
      </c>
      <c r="B11" t="s">
        <v>28</v>
      </c>
      <c r="C11" s="6">
        <v>3653</v>
      </c>
      <c r="D11" s="6">
        <v>1913</v>
      </c>
    </row>
    <row r="12" spans="1:4" x14ac:dyDescent="0.3">
      <c r="B12" t="s">
        <v>18</v>
      </c>
      <c r="C12" s="6">
        <v>2920</v>
      </c>
      <c r="D12" s="6">
        <v>702</v>
      </c>
    </row>
    <row r="13" spans="1:4" x14ac:dyDescent="0.3">
      <c r="A13" t="s">
        <v>178</v>
      </c>
      <c r="C13" s="6">
        <v>6573</v>
      </c>
      <c r="D13" s="6">
        <v>2615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B6" sqref="B6"/>
    </sheetView>
  </sheetViews>
  <sheetFormatPr defaultColWidth="19.21875" defaultRowHeight="14.4" x14ac:dyDescent="0.3"/>
  <cols>
    <col min="1" max="1" width="12.5546875" customWidth="1"/>
  </cols>
  <sheetData>
    <row r="1" spans="1:3" x14ac:dyDescent="0.3">
      <c r="A1" s="9"/>
      <c r="B1" s="10"/>
      <c r="C1" s="11"/>
    </row>
    <row r="2" spans="1:3" x14ac:dyDescent="0.3">
      <c r="A2" s="12"/>
      <c r="B2" s="13"/>
      <c r="C2" s="14"/>
    </row>
    <row r="3" spans="1:3" x14ac:dyDescent="0.3">
      <c r="A3" s="12"/>
      <c r="B3" s="13"/>
      <c r="C3" s="14"/>
    </row>
    <row r="4" spans="1:3" x14ac:dyDescent="0.3">
      <c r="A4" s="12"/>
      <c r="B4" s="13"/>
      <c r="C4" s="14"/>
    </row>
    <row r="5" spans="1:3" x14ac:dyDescent="0.3">
      <c r="A5" s="12"/>
      <c r="B5" s="13"/>
      <c r="C5" s="14"/>
    </row>
    <row r="6" spans="1:3" x14ac:dyDescent="0.3">
      <c r="A6" s="12"/>
      <c r="B6" s="13"/>
      <c r="C6" s="14"/>
    </row>
    <row r="7" spans="1:3" x14ac:dyDescent="0.3">
      <c r="A7" s="12"/>
      <c r="B7" s="13"/>
      <c r="C7" s="14"/>
    </row>
    <row r="8" spans="1:3" x14ac:dyDescent="0.3">
      <c r="A8" s="12"/>
      <c r="B8" s="13"/>
      <c r="C8" s="14"/>
    </row>
    <row r="9" spans="1:3" x14ac:dyDescent="0.3">
      <c r="A9" s="12"/>
      <c r="B9" s="13"/>
      <c r="C9" s="14"/>
    </row>
    <row r="10" spans="1:3" x14ac:dyDescent="0.3">
      <c r="A10" s="12"/>
      <c r="B10" s="13"/>
      <c r="C10" s="14"/>
    </row>
    <row r="11" spans="1:3" x14ac:dyDescent="0.3">
      <c r="A11" s="12"/>
      <c r="B11" s="13"/>
      <c r="C11" s="14"/>
    </row>
    <row r="12" spans="1:3" x14ac:dyDescent="0.3">
      <c r="A12" s="12"/>
      <c r="B12" s="13"/>
      <c r="C12" s="14"/>
    </row>
    <row r="13" spans="1:3" x14ac:dyDescent="0.3">
      <c r="A13" s="12"/>
      <c r="B13" s="13"/>
      <c r="C13" s="14"/>
    </row>
    <row r="14" spans="1:3" x14ac:dyDescent="0.3">
      <c r="A14" s="12"/>
      <c r="B14" s="13"/>
      <c r="C14" s="14"/>
    </row>
    <row r="15" spans="1:3" x14ac:dyDescent="0.3">
      <c r="A15" s="12"/>
      <c r="B15" s="13"/>
      <c r="C15" s="14"/>
    </row>
    <row r="16" spans="1:3" x14ac:dyDescent="0.3">
      <c r="A16" s="12"/>
      <c r="B16" s="13"/>
      <c r="C16" s="14"/>
    </row>
    <row r="17" spans="1:3" x14ac:dyDescent="0.3">
      <c r="A17" s="12"/>
      <c r="B17" s="13"/>
      <c r="C17" s="14"/>
    </row>
    <row r="18" spans="1:3" x14ac:dyDescent="0.3">
      <c r="A18" s="15"/>
      <c r="B18" s="16"/>
      <c r="C18" s="17"/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2" sqref="A2:A4"/>
    </sheetView>
  </sheetViews>
  <sheetFormatPr defaultColWidth="19.21875" defaultRowHeight="14.4" x14ac:dyDescent="0.3"/>
  <cols>
    <col min="1" max="1" width="22.77734375" bestFit="1" customWidth="1"/>
    <col min="2" max="2" width="18.77734375" customWidth="1"/>
  </cols>
  <sheetData>
    <row r="1" spans="1:2" x14ac:dyDescent="0.3">
      <c r="A1" s="27" t="s">
        <v>8</v>
      </c>
      <c r="B1" s="27" t="s">
        <v>10</v>
      </c>
    </row>
    <row r="2" spans="1:2" x14ac:dyDescent="0.3">
      <c r="A2" s="29" t="s">
        <v>35</v>
      </c>
      <c r="B2" s="30" t="s">
        <v>36</v>
      </c>
    </row>
    <row r="3" spans="1:2" x14ac:dyDescent="0.3">
      <c r="A3" s="28"/>
      <c r="B3" s="30" t="s">
        <v>25</v>
      </c>
    </row>
    <row r="4" spans="1:2" x14ac:dyDescent="0.3">
      <c r="A4" s="28"/>
      <c r="B4" s="30" t="s">
        <v>39</v>
      </c>
    </row>
    <row r="5" spans="1:2" x14ac:dyDescent="0.3">
      <c r="A5" s="29" t="s">
        <v>29</v>
      </c>
      <c r="B5" s="30" t="s">
        <v>25</v>
      </c>
    </row>
    <row r="6" spans="1:2" x14ac:dyDescent="0.3">
      <c r="A6" s="28"/>
      <c r="B6" s="30" t="s">
        <v>63</v>
      </c>
    </row>
    <row r="7" spans="1:2" x14ac:dyDescent="0.3">
      <c r="A7" s="28"/>
      <c r="B7" s="30" t="s">
        <v>65</v>
      </c>
    </row>
    <row r="8" spans="1:2" x14ac:dyDescent="0.3">
      <c r="A8" s="29" t="s">
        <v>24</v>
      </c>
      <c r="B8" s="30" t="s">
        <v>36</v>
      </c>
    </row>
    <row r="9" spans="1:2" x14ac:dyDescent="0.3">
      <c r="A9" s="28"/>
      <c r="B9" s="30" t="s">
        <v>25</v>
      </c>
    </row>
    <row r="10" spans="1:2" x14ac:dyDescent="0.3">
      <c r="A10" s="28"/>
      <c r="B10" s="30" t="s">
        <v>63</v>
      </c>
    </row>
    <row r="11" spans="1:2" x14ac:dyDescent="0.3">
      <c r="A11" s="28"/>
      <c r="B11" s="30" t="s">
        <v>65</v>
      </c>
    </row>
    <row r="12" spans="1:2" x14ac:dyDescent="0.3">
      <c r="A12" s="29" t="s">
        <v>19</v>
      </c>
      <c r="B12" s="30" t="s">
        <v>25</v>
      </c>
    </row>
    <row r="13" spans="1:2" x14ac:dyDescent="0.3">
      <c r="A13" s="28"/>
      <c r="B13" s="30" t="s">
        <v>63</v>
      </c>
    </row>
    <row r="14" spans="1:2" x14ac:dyDescent="0.3">
      <c r="A14" s="28"/>
      <c r="B14" s="30" t="s">
        <v>65</v>
      </c>
    </row>
    <row r="15" spans="1:2" x14ac:dyDescent="0.3">
      <c r="A15" s="29" t="s">
        <v>59</v>
      </c>
      <c r="B15" s="28"/>
    </row>
  </sheetData>
  <mergeCells count="5">
    <mergeCell ref="A2:A4"/>
    <mergeCell ref="A5:A7"/>
    <mergeCell ref="A8:A11"/>
    <mergeCell ref="A12:A14"/>
    <mergeCell ref="A15:B15"/>
  </mergeCells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6"/>
  <sheetViews>
    <sheetView workbookViewId="0">
      <selection activeCell="A7" sqref="A7"/>
    </sheetView>
  </sheetViews>
  <sheetFormatPr defaultRowHeight="14.4" x14ac:dyDescent="0.3"/>
  <cols>
    <col min="1" max="1" width="21.6640625" bestFit="1" customWidth="1"/>
    <col min="2" max="2" width="3.77734375" customWidth="1"/>
    <col min="3" max="3" width="6" bestFit="1" customWidth="1"/>
  </cols>
  <sheetData>
    <row r="3" spans="1:3" x14ac:dyDescent="0.3">
      <c r="A3" s="5" t="s">
        <v>129</v>
      </c>
    </row>
    <row r="4" spans="1:3" x14ac:dyDescent="0.3">
      <c r="C4" t="s">
        <v>130</v>
      </c>
    </row>
    <row r="5" spans="1:3" x14ac:dyDescent="0.3">
      <c r="A5" t="s">
        <v>35</v>
      </c>
      <c r="B5" t="s">
        <v>62</v>
      </c>
      <c r="C5" s="6">
        <v>1101</v>
      </c>
    </row>
    <row r="6" spans="1:3" x14ac:dyDescent="0.3">
      <c r="B6" t="s">
        <v>61</v>
      </c>
      <c r="C6" s="6">
        <v>579</v>
      </c>
    </row>
    <row r="7" spans="1:3" x14ac:dyDescent="0.3">
      <c r="A7" t="s">
        <v>131</v>
      </c>
      <c r="C7" s="6">
        <v>1680</v>
      </c>
    </row>
    <row r="8" spans="1:3" x14ac:dyDescent="0.3">
      <c r="A8" t="s">
        <v>29</v>
      </c>
      <c r="B8" t="s">
        <v>62</v>
      </c>
      <c r="C8" s="6">
        <v>1719</v>
      </c>
    </row>
    <row r="9" spans="1:3" x14ac:dyDescent="0.3">
      <c r="B9" t="s">
        <v>61</v>
      </c>
      <c r="C9" s="6">
        <v>8299</v>
      </c>
    </row>
    <row r="10" spans="1:3" x14ac:dyDescent="0.3">
      <c r="A10" t="s">
        <v>132</v>
      </c>
      <c r="C10" s="6">
        <v>10018</v>
      </c>
    </row>
    <row r="11" spans="1:3" x14ac:dyDescent="0.3">
      <c r="A11" t="s">
        <v>24</v>
      </c>
      <c r="B11" t="s">
        <v>62</v>
      </c>
      <c r="C11" s="6">
        <v>5229</v>
      </c>
    </row>
    <row r="12" spans="1:3" x14ac:dyDescent="0.3">
      <c r="A12" t="s">
        <v>133</v>
      </c>
      <c r="C12" s="6">
        <v>5229</v>
      </c>
    </row>
    <row r="13" spans="1:3" x14ac:dyDescent="0.3">
      <c r="A13" t="s">
        <v>19</v>
      </c>
      <c r="B13" t="s">
        <v>62</v>
      </c>
      <c r="C13" s="6">
        <v>1531</v>
      </c>
    </row>
    <row r="14" spans="1:3" x14ac:dyDescent="0.3">
      <c r="B14" t="s">
        <v>61</v>
      </c>
      <c r="C14" s="6">
        <v>691</v>
      </c>
    </row>
    <row r="15" spans="1:3" x14ac:dyDescent="0.3">
      <c r="A15" t="s">
        <v>134</v>
      </c>
      <c r="C15" s="6">
        <v>2222</v>
      </c>
    </row>
    <row r="16" spans="1:3" x14ac:dyDescent="0.3">
      <c r="A16" t="s">
        <v>59</v>
      </c>
      <c r="C16" s="6">
        <v>19149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4"/>
  <sheetViews>
    <sheetView workbookViewId="0"/>
  </sheetViews>
  <sheetFormatPr defaultRowHeight="14.4" x14ac:dyDescent="0.3"/>
  <cols>
    <col min="1" max="1" width="20.33203125" customWidth="1"/>
    <col min="2" max="2" width="15.5546875" bestFit="1" customWidth="1"/>
    <col min="3" max="3" width="5.6640625" customWidth="1"/>
    <col min="4" max="4" width="5" bestFit="1" customWidth="1"/>
    <col min="5" max="5" width="10.77734375" bestFit="1" customWidth="1"/>
  </cols>
  <sheetData>
    <row r="3" spans="1:5" x14ac:dyDescent="0.3">
      <c r="A3" s="5" t="s">
        <v>129</v>
      </c>
      <c r="B3" s="5" t="s">
        <v>128</v>
      </c>
    </row>
    <row r="4" spans="1:5" x14ac:dyDescent="0.3">
      <c r="A4" s="5" t="s">
        <v>60</v>
      </c>
      <c r="B4" t="s">
        <v>70</v>
      </c>
      <c r="C4" t="s">
        <v>68</v>
      </c>
      <c r="D4" t="s">
        <v>69</v>
      </c>
      <c r="E4" t="s">
        <v>59</v>
      </c>
    </row>
    <row r="5" spans="1:5" x14ac:dyDescent="0.3">
      <c r="A5" s="7" t="s">
        <v>127</v>
      </c>
      <c r="B5" s="6">
        <v>0</v>
      </c>
      <c r="C5" s="6">
        <v>0</v>
      </c>
      <c r="D5" s="6">
        <v>6573</v>
      </c>
      <c r="E5" s="6">
        <v>6573</v>
      </c>
    </row>
    <row r="6" spans="1:5" x14ac:dyDescent="0.3">
      <c r="A6" s="18" t="s">
        <v>35</v>
      </c>
      <c r="B6" s="6">
        <v>0</v>
      </c>
      <c r="C6" s="6">
        <v>0</v>
      </c>
      <c r="D6" s="6">
        <v>162</v>
      </c>
      <c r="E6" s="6">
        <v>162</v>
      </c>
    </row>
    <row r="7" spans="1:5" x14ac:dyDescent="0.3">
      <c r="A7" s="18" t="s">
        <v>29</v>
      </c>
      <c r="B7" s="6">
        <v>0</v>
      </c>
      <c r="C7" s="6">
        <v>0</v>
      </c>
      <c r="D7" s="6">
        <v>3690</v>
      </c>
      <c r="E7" s="6">
        <v>3690</v>
      </c>
    </row>
    <row r="8" spans="1:5" x14ac:dyDescent="0.3">
      <c r="A8" s="18" t="s">
        <v>24</v>
      </c>
      <c r="B8" s="6">
        <v>0</v>
      </c>
      <c r="C8" s="6">
        <v>0</v>
      </c>
      <c r="D8" s="6">
        <v>2721</v>
      </c>
      <c r="E8" s="6">
        <v>2721</v>
      </c>
    </row>
    <row r="9" spans="1:5" x14ac:dyDescent="0.3">
      <c r="A9" s="7" t="s">
        <v>126</v>
      </c>
      <c r="B9" s="6">
        <v>6554</v>
      </c>
      <c r="C9" s="6">
        <v>3407</v>
      </c>
      <c r="D9" s="6">
        <v>2615</v>
      </c>
      <c r="E9" s="6">
        <v>12576</v>
      </c>
    </row>
    <row r="10" spans="1:5" x14ac:dyDescent="0.3">
      <c r="A10" s="18" t="s">
        <v>35</v>
      </c>
      <c r="B10" s="6">
        <v>1101</v>
      </c>
      <c r="C10" s="6">
        <v>417</v>
      </c>
      <c r="D10" s="6">
        <v>0</v>
      </c>
      <c r="E10" s="6">
        <v>1518</v>
      </c>
    </row>
    <row r="11" spans="1:5" x14ac:dyDescent="0.3">
      <c r="A11" s="18" t="s">
        <v>29</v>
      </c>
      <c r="B11" s="6">
        <v>3295</v>
      </c>
      <c r="C11" s="6">
        <v>1064</v>
      </c>
      <c r="D11" s="6">
        <v>1969</v>
      </c>
      <c r="E11" s="6">
        <v>6328</v>
      </c>
    </row>
    <row r="12" spans="1:5" x14ac:dyDescent="0.3">
      <c r="A12" s="18" t="s">
        <v>24</v>
      </c>
      <c r="B12" s="6">
        <v>1382</v>
      </c>
      <c r="C12" s="6">
        <v>731</v>
      </c>
      <c r="D12" s="6">
        <v>395</v>
      </c>
      <c r="E12" s="6">
        <v>2508</v>
      </c>
    </row>
    <row r="13" spans="1:5" x14ac:dyDescent="0.3">
      <c r="A13" s="18" t="s">
        <v>19</v>
      </c>
      <c r="B13" s="6">
        <v>776</v>
      </c>
      <c r="C13" s="6">
        <v>1195</v>
      </c>
      <c r="D13" s="6">
        <v>251</v>
      </c>
      <c r="E13" s="6">
        <v>2222</v>
      </c>
    </row>
    <row r="14" spans="1:5" x14ac:dyDescent="0.3">
      <c r="A14" s="7" t="s">
        <v>59</v>
      </c>
      <c r="B14" s="6">
        <v>6554</v>
      </c>
      <c r="C14" s="6">
        <v>3407</v>
      </c>
      <c r="D14" s="6">
        <v>9188</v>
      </c>
      <c r="E14" s="6">
        <v>19149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5"/>
  <sheetViews>
    <sheetView workbookViewId="0">
      <selection activeCell="B3" sqref="B3"/>
    </sheetView>
  </sheetViews>
  <sheetFormatPr defaultRowHeight="14.4" x14ac:dyDescent="0.3"/>
  <cols>
    <col min="1" max="1" width="37.21875" customWidth="1"/>
    <col min="2" max="4" width="16.77734375" bestFit="1" customWidth="1"/>
    <col min="5" max="5" width="16.77734375" customWidth="1"/>
    <col min="6" max="6" width="10.77734375" customWidth="1"/>
    <col min="7" max="7" width="11.21875" bestFit="1" customWidth="1"/>
    <col min="8" max="8" width="11.21875" customWidth="1"/>
    <col min="9" max="9" width="41.109375" bestFit="1" customWidth="1"/>
    <col min="10" max="11" width="9.109375" customWidth="1"/>
    <col min="12" max="18" width="41.109375" bestFit="1" customWidth="1"/>
    <col min="19" max="19" width="10.77734375" bestFit="1" customWidth="1"/>
  </cols>
  <sheetData>
    <row r="3" spans="1:6" x14ac:dyDescent="0.3">
      <c r="A3" s="5" t="s">
        <v>125</v>
      </c>
      <c r="B3" t="s">
        <v>146</v>
      </c>
      <c r="D3" s="5" t="s">
        <v>9</v>
      </c>
      <c r="E3" t="s">
        <v>146</v>
      </c>
    </row>
    <row r="4" spans="1:6" x14ac:dyDescent="0.3">
      <c r="A4" s="5" t="s">
        <v>6</v>
      </c>
      <c r="B4" t="s">
        <v>146</v>
      </c>
      <c r="D4" s="5" t="s">
        <v>10</v>
      </c>
      <c r="E4" t="s">
        <v>146</v>
      </c>
    </row>
    <row r="6" spans="1:6" x14ac:dyDescent="0.3">
      <c r="A6" s="5" t="s">
        <v>129</v>
      </c>
    </row>
    <row r="7" spans="1:6" x14ac:dyDescent="0.3">
      <c r="B7" t="s">
        <v>35</v>
      </c>
      <c r="C7" t="s">
        <v>29</v>
      </c>
      <c r="D7" t="s">
        <v>24</v>
      </c>
      <c r="E7" t="s">
        <v>19</v>
      </c>
      <c r="F7" t="s">
        <v>59</v>
      </c>
    </row>
    <row r="8" spans="1:6" x14ac:dyDescent="0.3">
      <c r="A8" t="s">
        <v>41</v>
      </c>
      <c r="B8" s="6"/>
      <c r="C8" s="6"/>
      <c r="D8" s="6">
        <v>140</v>
      </c>
      <c r="E8" s="6"/>
      <c r="F8" s="6">
        <v>140</v>
      </c>
    </row>
    <row r="9" spans="1:6" x14ac:dyDescent="0.3">
      <c r="A9" t="s">
        <v>64</v>
      </c>
      <c r="B9" s="6">
        <v>417</v>
      </c>
      <c r="C9" s="6">
        <v>1145</v>
      </c>
      <c r="D9" s="6">
        <v>2029</v>
      </c>
      <c r="E9" s="6"/>
      <c r="F9" s="6">
        <v>3591</v>
      </c>
    </row>
    <row r="10" spans="1:6" x14ac:dyDescent="0.3">
      <c r="A10" t="s">
        <v>48</v>
      </c>
      <c r="B10" s="6"/>
      <c r="C10" s="6"/>
      <c r="D10" s="6"/>
      <c r="E10" s="6">
        <v>691</v>
      </c>
      <c r="F10" s="6">
        <v>691</v>
      </c>
    </row>
    <row r="11" spans="1:6" x14ac:dyDescent="0.3">
      <c r="A11" t="s">
        <v>47</v>
      </c>
      <c r="B11" s="6">
        <v>162</v>
      </c>
      <c r="C11" s="6">
        <v>977</v>
      </c>
      <c r="D11" s="6"/>
      <c r="E11" s="6">
        <v>483</v>
      </c>
      <c r="F11" s="6">
        <v>1622</v>
      </c>
    </row>
    <row r="12" spans="1:6" x14ac:dyDescent="0.3">
      <c r="A12" t="s">
        <v>44</v>
      </c>
      <c r="B12" s="6"/>
      <c r="C12" s="6">
        <v>310</v>
      </c>
      <c r="D12" s="6">
        <v>194</v>
      </c>
      <c r="E12" s="6"/>
      <c r="F12" s="6">
        <v>504</v>
      </c>
    </row>
    <row r="13" spans="1:6" x14ac:dyDescent="0.3">
      <c r="A13" t="s">
        <v>31</v>
      </c>
      <c r="B13" s="6">
        <v>1101</v>
      </c>
      <c r="C13" s="6">
        <v>4110</v>
      </c>
      <c r="D13" s="6">
        <v>1352</v>
      </c>
      <c r="E13" s="6">
        <v>259</v>
      </c>
      <c r="F13" s="6">
        <v>6822</v>
      </c>
    </row>
    <row r="14" spans="1:6" x14ac:dyDescent="0.3">
      <c r="A14" t="s">
        <v>42</v>
      </c>
      <c r="B14" s="6"/>
      <c r="C14" s="6">
        <v>3476</v>
      </c>
      <c r="D14" s="6">
        <v>1514</v>
      </c>
      <c r="E14" s="6">
        <v>789</v>
      </c>
      <c r="F14" s="6">
        <v>5779</v>
      </c>
    </row>
    <row r="15" spans="1:6" x14ac:dyDescent="0.3">
      <c r="A15" t="s">
        <v>59</v>
      </c>
      <c r="B15" s="6">
        <v>1680</v>
      </c>
      <c r="C15" s="6">
        <v>10018</v>
      </c>
      <c r="D15" s="6">
        <v>5229</v>
      </c>
      <c r="E15" s="6">
        <v>2222</v>
      </c>
      <c r="F15" s="6">
        <v>19149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workbookViewId="0">
      <selection activeCell="A5" sqref="A5"/>
    </sheetView>
  </sheetViews>
  <sheetFormatPr defaultRowHeight="14.4" x14ac:dyDescent="0.3"/>
  <cols>
    <col min="1" max="1" width="16.77734375" bestFit="1" customWidth="1"/>
    <col min="2" max="2" width="10.88671875" bestFit="1" customWidth="1"/>
  </cols>
  <sheetData>
    <row r="3" spans="1:2" x14ac:dyDescent="0.3">
      <c r="A3" s="5" t="s">
        <v>60</v>
      </c>
      <c r="B3" t="s">
        <v>129</v>
      </c>
    </row>
    <row r="4" spans="1:2" x14ac:dyDescent="0.3">
      <c r="A4" s="7" t="s">
        <v>35</v>
      </c>
      <c r="B4" s="6">
        <v>1680</v>
      </c>
    </row>
    <row r="5" spans="1:2" x14ac:dyDescent="0.3">
      <c r="A5" s="18" t="s">
        <v>62</v>
      </c>
      <c r="B5" s="6">
        <v>1101</v>
      </c>
    </row>
    <row r="6" spans="1:2" x14ac:dyDescent="0.3">
      <c r="A6" s="18" t="s">
        <v>61</v>
      </c>
      <c r="B6" s="6">
        <v>579</v>
      </c>
    </row>
    <row r="7" spans="1:2" x14ac:dyDescent="0.3">
      <c r="A7" s="7" t="s">
        <v>29</v>
      </c>
      <c r="B7" s="6">
        <v>10018</v>
      </c>
    </row>
    <row r="8" spans="1:2" x14ac:dyDescent="0.3">
      <c r="A8" s="18" t="s">
        <v>62</v>
      </c>
      <c r="B8" s="6">
        <v>1719</v>
      </c>
    </row>
    <row r="9" spans="1:2" x14ac:dyDescent="0.3">
      <c r="A9" s="18" t="s">
        <v>61</v>
      </c>
      <c r="B9" s="6">
        <v>8299</v>
      </c>
    </row>
    <row r="10" spans="1:2" x14ac:dyDescent="0.3">
      <c r="A10" s="7" t="s">
        <v>24</v>
      </c>
      <c r="B10" s="6">
        <v>5229</v>
      </c>
    </row>
    <row r="11" spans="1:2" x14ac:dyDescent="0.3">
      <c r="A11" s="18" t="s">
        <v>62</v>
      </c>
      <c r="B11" s="6">
        <v>5229</v>
      </c>
    </row>
    <row r="12" spans="1:2" x14ac:dyDescent="0.3">
      <c r="A12" s="7" t="s">
        <v>19</v>
      </c>
      <c r="B12" s="6">
        <v>2222</v>
      </c>
    </row>
    <row r="13" spans="1:2" x14ac:dyDescent="0.3">
      <c r="A13" s="18" t="s">
        <v>62</v>
      </c>
      <c r="B13" s="6">
        <v>1531</v>
      </c>
    </row>
    <row r="14" spans="1:2" x14ac:dyDescent="0.3">
      <c r="A14" s="18" t="s">
        <v>61</v>
      </c>
      <c r="B14" s="6">
        <v>691</v>
      </c>
    </row>
    <row r="15" spans="1:2" x14ac:dyDescent="0.3">
      <c r="A15" s="7" t="s">
        <v>59</v>
      </c>
      <c r="B15" s="6">
        <v>19149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opLeftCell="H1" workbookViewId="0">
      <selection activeCell="K2" sqref="K2"/>
    </sheetView>
  </sheetViews>
  <sheetFormatPr defaultRowHeight="14.4" x14ac:dyDescent="0.3"/>
  <cols>
    <col min="1" max="1" width="7.44140625" bestFit="1" customWidth="1"/>
    <col min="2" max="2" width="6.5546875" bestFit="1" customWidth="1"/>
    <col min="3" max="3" width="16.21875" bestFit="1" customWidth="1"/>
    <col min="4" max="5" width="5" bestFit="1" customWidth="1"/>
    <col min="6" max="6" width="11.109375" bestFit="1" customWidth="1"/>
    <col min="10" max="10" width="10.77734375" bestFit="1" customWidth="1"/>
    <col min="11" max="11" width="43.88671875" bestFit="1" customWidth="1"/>
    <col min="12" max="12" width="8.109375" bestFit="1" customWidth="1"/>
  </cols>
  <sheetData>
    <row r="1" spans="1:17" x14ac:dyDescent="0.3">
      <c r="A1" t="s">
        <v>168</v>
      </c>
      <c r="B1" t="s">
        <v>67</v>
      </c>
      <c r="C1" t="s">
        <v>169</v>
      </c>
      <c r="D1" t="s">
        <v>66</v>
      </c>
      <c r="E1" t="s">
        <v>51</v>
      </c>
      <c r="K1" s="26" t="s">
        <v>173</v>
      </c>
    </row>
    <row r="2" spans="1:17" x14ac:dyDescent="0.3">
      <c r="A2" t="s">
        <v>127</v>
      </c>
      <c r="B2" t="s">
        <v>69</v>
      </c>
      <c r="C2" t="s">
        <v>35</v>
      </c>
      <c r="D2">
        <v>162</v>
      </c>
      <c r="E2">
        <v>107</v>
      </c>
      <c r="K2" s="26" t="s">
        <v>174</v>
      </c>
      <c r="Q2" t="s">
        <v>175</v>
      </c>
    </row>
    <row r="3" spans="1:17" x14ac:dyDescent="0.3">
      <c r="A3" t="s">
        <v>127</v>
      </c>
      <c r="B3" t="s">
        <v>69</v>
      </c>
      <c r="C3" t="s">
        <v>29</v>
      </c>
      <c r="D3">
        <v>3690</v>
      </c>
      <c r="E3">
        <v>2962</v>
      </c>
    </row>
    <row r="4" spans="1:17" x14ac:dyDescent="0.3">
      <c r="A4" t="s">
        <v>127</v>
      </c>
      <c r="B4" t="s">
        <v>69</v>
      </c>
      <c r="C4" t="s">
        <v>24</v>
      </c>
      <c r="D4">
        <v>2721</v>
      </c>
      <c r="E4">
        <v>2384</v>
      </c>
      <c r="L4" t="e">
        <f ca="1">OFFSET($A$1,0,0,COUNTA($A:$A),COUNTA($1:$1))</f>
        <v>#VALUE!</v>
      </c>
    </row>
    <row r="5" spans="1:17" x14ac:dyDescent="0.3">
      <c r="A5" t="s">
        <v>126</v>
      </c>
      <c r="B5" t="s">
        <v>70</v>
      </c>
      <c r="C5" t="s">
        <v>35</v>
      </c>
      <c r="D5">
        <v>1101</v>
      </c>
      <c r="E5">
        <v>941</v>
      </c>
    </row>
    <row r="6" spans="1:17" x14ac:dyDescent="0.3">
      <c r="A6" t="s">
        <v>126</v>
      </c>
      <c r="B6" t="s">
        <v>70</v>
      </c>
      <c r="C6" t="s">
        <v>29</v>
      </c>
      <c r="D6">
        <v>3295</v>
      </c>
      <c r="E6">
        <v>2680</v>
      </c>
      <c r="J6" s="5" t="s">
        <v>168</v>
      </c>
      <c r="K6" s="5" t="s">
        <v>67</v>
      </c>
    </row>
    <row r="7" spans="1:17" x14ac:dyDescent="0.3">
      <c r="A7" t="s">
        <v>126</v>
      </c>
      <c r="B7" t="s">
        <v>70</v>
      </c>
      <c r="C7" t="s">
        <v>24</v>
      </c>
      <c r="D7">
        <v>1382</v>
      </c>
      <c r="E7">
        <v>1128</v>
      </c>
      <c r="J7" t="s">
        <v>127</v>
      </c>
      <c r="K7" t="s">
        <v>69</v>
      </c>
    </row>
    <row r="8" spans="1:17" x14ac:dyDescent="0.3">
      <c r="A8" t="s">
        <v>126</v>
      </c>
      <c r="B8" t="s">
        <v>70</v>
      </c>
      <c r="C8" t="s">
        <v>19</v>
      </c>
      <c r="D8">
        <v>776</v>
      </c>
      <c r="E8">
        <v>545</v>
      </c>
      <c r="J8" t="s">
        <v>126</v>
      </c>
      <c r="K8" t="s">
        <v>70</v>
      </c>
    </row>
    <row r="9" spans="1:17" x14ac:dyDescent="0.3">
      <c r="A9" t="s">
        <v>126</v>
      </c>
      <c r="B9" t="s">
        <v>68</v>
      </c>
      <c r="C9" t="s">
        <v>35</v>
      </c>
      <c r="D9">
        <v>417</v>
      </c>
      <c r="E9">
        <v>386</v>
      </c>
      <c r="K9" t="s">
        <v>68</v>
      </c>
    </row>
    <row r="10" spans="1:17" x14ac:dyDescent="0.3">
      <c r="A10" t="s">
        <v>126</v>
      </c>
      <c r="B10" t="s">
        <v>68</v>
      </c>
      <c r="C10" t="s">
        <v>29</v>
      </c>
      <c r="D10">
        <v>1064</v>
      </c>
      <c r="E10">
        <v>797</v>
      </c>
      <c r="K10" t="s">
        <v>69</v>
      </c>
    </row>
    <row r="11" spans="1:17" x14ac:dyDescent="0.3">
      <c r="A11" t="s">
        <v>126</v>
      </c>
      <c r="B11" t="s">
        <v>68</v>
      </c>
      <c r="C11" t="s">
        <v>24</v>
      </c>
      <c r="D11">
        <v>731</v>
      </c>
      <c r="E11">
        <v>600</v>
      </c>
      <c r="J11" t="s">
        <v>59</v>
      </c>
    </row>
    <row r="12" spans="1:17" x14ac:dyDescent="0.3">
      <c r="A12" t="s">
        <v>126</v>
      </c>
      <c r="B12" t="s">
        <v>68</v>
      </c>
      <c r="C12" t="s">
        <v>19</v>
      </c>
      <c r="D12">
        <v>1195</v>
      </c>
      <c r="E12">
        <v>955</v>
      </c>
    </row>
    <row r="13" spans="1:17" x14ac:dyDescent="0.3">
      <c r="A13" t="s">
        <v>126</v>
      </c>
      <c r="B13" t="s">
        <v>69</v>
      </c>
      <c r="C13" t="s">
        <v>29</v>
      </c>
      <c r="D13">
        <v>1969</v>
      </c>
      <c r="E13">
        <v>1503</v>
      </c>
    </row>
    <row r="14" spans="1:17" x14ac:dyDescent="0.3">
      <c r="A14" t="s">
        <v>126</v>
      </c>
      <c r="B14" t="s">
        <v>69</v>
      </c>
      <c r="C14" t="s">
        <v>24</v>
      </c>
      <c r="D14">
        <v>395</v>
      </c>
      <c r="E14">
        <v>249</v>
      </c>
    </row>
    <row r="15" spans="1:17" x14ac:dyDescent="0.3">
      <c r="A15" t="s">
        <v>126</v>
      </c>
      <c r="B15" t="s">
        <v>69</v>
      </c>
      <c r="C15" t="s">
        <v>19</v>
      </c>
      <c r="D15">
        <v>251</v>
      </c>
      <c r="E15">
        <v>196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sqref="A1:XFD1048576"/>
    </sheetView>
  </sheetViews>
  <sheetFormatPr defaultRowHeight="14.4" x14ac:dyDescent="0.3"/>
  <cols>
    <col min="1" max="1" width="7.77734375" bestFit="1" customWidth="1"/>
    <col min="2" max="2" width="6.77734375" bestFit="1" customWidth="1"/>
    <col min="3" max="3" width="16.21875" bestFit="1" customWidth="1"/>
    <col min="4" max="5" width="5" bestFit="1" customWidth="1"/>
    <col min="6" max="6" width="11.109375" bestFit="1" customWidth="1"/>
    <col min="9" max="9" width="10.88671875" bestFit="1" customWidth="1"/>
    <col min="10" max="10" width="6.44140625" customWidth="1"/>
    <col min="11" max="11" width="6" customWidth="1"/>
  </cols>
  <sheetData>
    <row r="1" spans="1:11" x14ac:dyDescent="0.3">
      <c r="A1" s="31" t="s">
        <v>168</v>
      </c>
      <c r="B1" s="32" t="s">
        <v>67</v>
      </c>
      <c r="C1" s="32" t="s">
        <v>169</v>
      </c>
      <c r="D1" s="32" t="s">
        <v>66</v>
      </c>
      <c r="E1" s="33" t="s">
        <v>51</v>
      </c>
    </row>
    <row r="2" spans="1:11" x14ac:dyDescent="0.3">
      <c r="A2" s="34" t="s">
        <v>127</v>
      </c>
      <c r="B2" s="35" t="s">
        <v>69</v>
      </c>
      <c r="C2" s="36" t="s">
        <v>35</v>
      </c>
      <c r="D2" s="37">
        <v>162</v>
      </c>
      <c r="E2" s="38">
        <v>107</v>
      </c>
    </row>
    <row r="3" spans="1:11" x14ac:dyDescent="0.3">
      <c r="A3" s="34" t="s">
        <v>127</v>
      </c>
      <c r="B3" s="35" t="s">
        <v>69</v>
      </c>
      <c r="C3" s="36" t="s">
        <v>29</v>
      </c>
      <c r="D3" s="37">
        <v>3690</v>
      </c>
      <c r="E3" s="38">
        <v>2962</v>
      </c>
    </row>
    <row r="4" spans="1:11" x14ac:dyDescent="0.3">
      <c r="A4" s="34" t="s">
        <v>127</v>
      </c>
      <c r="B4" s="35" t="s">
        <v>69</v>
      </c>
      <c r="C4" s="36" t="s">
        <v>24</v>
      </c>
      <c r="D4" s="37">
        <v>2721</v>
      </c>
      <c r="E4" s="38">
        <v>2384</v>
      </c>
    </row>
    <row r="5" spans="1:11" x14ac:dyDescent="0.3">
      <c r="A5" s="34" t="s">
        <v>126</v>
      </c>
      <c r="B5" s="35" t="s">
        <v>70</v>
      </c>
      <c r="C5" s="36" t="s">
        <v>35</v>
      </c>
      <c r="D5" s="37">
        <v>1101</v>
      </c>
      <c r="E5" s="38">
        <v>941</v>
      </c>
      <c r="I5" s="5" t="s">
        <v>129</v>
      </c>
    </row>
    <row r="6" spans="1:11" x14ac:dyDescent="0.3">
      <c r="A6" s="34" t="s">
        <v>126</v>
      </c>
      <c r="B6" s="35" t="s">
        <v>70</v>
      </c>
      <c r="C6" s="36" t="s">
        <v>29</v>
      </c>
      <c r="D6" s="37">
        <v>3295</v>
      </c>
      <c r="E6" s="38">
        <v>2680</v>
      </c>
      <c r="K6" t="s">
        <v>130</v>
      </c>
    </row>
    <row r="7" spans="1:11" x14ac:dyDescent="0.3">
      <c r="A7" s="34" t="s">
        <v>126</v>
      </c>
      <c r="B7" s="35" t="s">
        <v>70</v>
      </c>
      <c r="C7" s="36" t="s">
        <v>24</v>
      </c>
      <c r="D7" s="37">
        <v>1382</v>
      </c>
      <c r="E7" s="38">
        <v>1128</v>
      </c>
      <c r="I7" t="s">
        <v>127</v>
      </c>
      <c r="J7" t="s">
        <v>69</v>
      </c>
      <c r="K7" s="6">
        <v>6573</v>
      </c>
    </row>
    <row r="8" spans="1:11" x14ac:dyDescent="0.3">
      <c r="A8" s="34" t="s">
        <v>126</v>
      </c>
      <c r="B8" s="35" t="s">
        <v>70</v>
      </c>
      <c r="C8" s="36" t="s">
        <v>19</v>
      </c>
      <c r="D8" s="37">
        <v>776</v>
      </c>
      <c r="E8" s="38">
        <v>545</v>
      </c>
      <c r="I8" t="s">
        <v>126</v>
      </c>
      <c r="J8" t="s">
        <v>70</v>
      </c>
      <c r="K8" s="6">
        <v>6554</v>
      </c>
    </row>
    <row r="9" spans="1:11" x14ac:dyDescent="0.3">
      <c r="A9" s="34" t="s">
        <v>126</v>
      </c>
      <c r="B9" s="35" t="s">
        <v>68</v>
      </c>
      <c r="C9" s="36" t="s">
        <v>35</v>
      </c>
      <c r="D9" s="37">
        <v>417</v>
      </c>
      <c r="E9" s="38">
        <v>386</v>
      </c>
      <c r="J9" t="s">
        <v>68</v>
      </c>
      <c r="K9" s="6">
        <v>3407</v>
      </c>
    </row>
    <row r="10" spans="1:11" x14ac:dyDescent="0.3">
      <c r="A10" s="34" t="s">
        <v>126</v>
      </c>
      <c r="B10" s="35" t="s">
        <v>68</v>
      </c>
      <c r="C10" s="36" t="s">
        <v>29</v>
      </c>
      <c r="D10" s="37">
        <v>1064</v>
      </c>
      <c r="E10" s="38">
        <v>797</v>
      </c>
      <c r="J10" t="s">
        <v>69</v>
      </c>
      <c r="K10" s="6">
        <v>2615</v>
      </c>
    </row>
    <row r="11" spans="1:11" x14ac:dyDescent="0.3">
      <c r="A11" s="34" t="s">
        <v>126</v>
      </c>
      <c r="B11" s="35" t="s">
        <v>68</v>
      </c>
      <c r="C11" s="36" t="s">
        <v>24</v>
      </c>
      <c r="D11" s="37">
        <v>731</v>
      </c>
      <c r="E11" s="38">
        <v>600</v>
      </c>
      <c r="I11" t="s">
        <v>170</v>
      </c>
      <c r="J11" t="s">
        <v>172</v>
      </c>
      <c r="K11" s="6"/>
    </row>
    <row r="12" spans="1:11" x14ac:dyDescent="0.3">
      <c r="A12" s="34" t="s">
        <v>126</v>
      </c>
      <c r="B12" s="35" t="s">
        <v>68</v>
      </c>
      <c r="C12" s="36" t="s">
        <v>19</v>
      </c>
      <c r="D12" s="37">
        <v>1195</v>
      </c>
      <c r="E12" s="38">
        <v>955</v>
      </c>
      <c r="I12" t="s">
        <v>171</v>
      </c>
      <c r="J12" t="s">
        <v>172</v>
      </c>
      <c r="K12" s="6"/>
    </row>
    <row r="13" spans="1:11" x14ac:dyDescent="0.3">
      <c r="A13" s="34" t="s">
        <v>126</v>
      </c>
      <c r="B13" s="35" t="s">
        <v>69</v>
      </c>
      <c r="C13" s="36" t="s">
        <v>29</v>
      </c>
      <c r="D13" s="37">
        <v>1969</v>
      </c>
      <c r="E13" s="38">
        <v>1503</v>
      </c>
      <c r="I13" t="s">
        <v>59</v>
      </c>
      <c r="K13" s="6">
        <v>19149</v>
      </c>
    </row>
    <row r="14" spans="1:11" x14ac:dyDescent="0.3">
      <c r="A14" s="34" t="s">
        <v>126</v>
      </c>
      <c r="B14" s="35" t="s">
        <v>69</v>
      </c>
      <c r="C14" s="36" t="s">
        <v>24</v>
      </c>
      <c r="D14" s="37">
        <v>395</v>
      </c>
      <c r="E14" s="38">
        <v>249</v>
      </c>
    </row>
    <row r="15" spans="1:11" x14ac:dyDescent="0.3">
      <c r="A15" s="34" t="s">
        <v>126</v>
      </c>
      <c r="B15" s="35" t="s">
        <v>69</v>
      </c>
      <c r="C15" s="36" t="s">
        <v>19</v>
      </c>
      <c r="D15" s="37">
        <v>251</v>
      </c>
      <c r="E15" s="38">
        <v>196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selection activeCell="I13" sqref="I13"/>
    </sheetView>
  </sheetViews>
  <sheetFormatPr defaultRowHeight="14.4" x14ac:dyDescent="0.3"/>
  <cols>
    <col min="1" max="1" width="10.77734375" bestFit="1" customWidth="1"/>
    <col min="2" max="2" width="10.88671875" bestFit="1" customWidth="1"/>
    <col min="3" max="3" width="18.21875" style="25" bestFit="1" customWidth="1"/>
    <col min="4" max="4" width="12.33203125" bestFit="1" customWidth="1"/>
  </cols>
  <sheetData>
    <row r="1" spans="1:10" x14ac:dyDescent="0.3">
      <c r="J1" t="s">
        <v>163</v>
      </c>
    </row>
    <row r="3" spans="1:10" x14ac:dyDescent="0.3">
      <c r="A3" s="5" t="s">
        <v>147</v>
      </c>
      <c r="B3" t="s">
        <v>129</v>
      </c>
      <c r="C3" t="s">
        <v>164</v>
      </c>
      <c r="J3" t="s">
        <v>165</v>
      </c>
    </row>
    <row r="4" spans="1:10" x14ac:dyDescent="0.3">
      <c r="A4" t="s">
        <v>153</v>
      </c>
      <c r="B4" s="6">
        <v>1445</v>
      </c>
      <c r="C4" s="6">
        <v>72.25</v>
      </c>
      <c r="J4" t="s">
        <v>166</v>
      </c>
    </row>
    <row r="5" spans="1:10" x14ac:dyDescent="0.3">
      <c r="A5" t="s">
        <v>151</v>
      </c>
      <c r="B5" s="6">
        <v>1564</v>
      </c>
      <c r="C5" s="6">
        <v>78.2</v>
      </c>
      <c r="J5" t="s">
        <v>167</v>
      </c>
    </row>
    <row r="6" spans="1:10" x14ac:dyDescent="0.3">
      <c r="A6" t="s">
        <v>158</v>
      </c>
      <c r="B6" s="6">
        <v>957</v>
      </c>
      <c r="C6" s="6">
        <v>9.57</v>
      </c>
    </row>
    <row r="7" spans="1:10" x14ac:dyDescent="0.3">
      <c r="A7" t="s">
        <v>162</v>
      </c>
      <c r="B7" s="6">
        <v>1120</v>
      </c>
      <c r="C7" s="6">
        <v>56</v>
      </c>
    </row>
    <row r="8" spans="1:10" x14ac:dyDescent="0.3">
      <c r="A8" t="s">
        <v>160</v>
      </c>
      <c r="B8" s="6">
        <v>861</v>
      </c>
      <c r="C8" s="6">
        <v>8.61</v>
      </c>
    </row>
    <row r="9" spans="1:10" x14ac:dyDescent="0.3">
      <c r="A9" t="s">
        <v>155</v>
      </c>
      <c r="B9" s="6">
        <v>862</v>
      </c>
      <c r="C9" s="6">
        <v>8.620000000000001</v>
      </c>
    </row>
    <row r="10" spans="1:10" x14ac:dyDescent="0.3">
      <c r="A10" t="s">
        <v>156</v>
      </c>
      <c r="B10" s="6">
        <v>749</v>
      </c>
      <c r="C10" s="6">
        <v>7.49</v>
      </c>
    </row>
    <row r="11" spans="1:10" x14ac:dyDescent="0.3">
      <c r="A11" t="s">
        <v>157</v>
      </c>
      <c r="B11" s="6">
        <v>2011</v>
      </c>
      <c r="C11" s="6">
        <v>100.55000000000001</v>
      </c>
    </row>
    <row r="12" spans="1:10" x14ac:dyDescent="0.3">
      <c r="A12" t="s">
        <v>150</v>
      </c>
      <c r="B12" s="6">
        <v>713</v>
      </c>
      <c r="C12" s="6">
        <v>7.13</v>
      </c>
    </row>
    <row r="13" spans="1:10" x14ac:dyDescent="0.3">
      <c r="A13" t="s">
        <v>161</v>
      </c>
      <c r="B13" s="6">
        <v>631</v>
      </c>
      <c r="C13" s="6">
        <v>6.3100000000000005</v>
      </c>
    </row>
    <row r="14" spans="1:10" x14ac:dyDescent="0.3">
      <c r="A14" t="s">
        <v>149</v>
      </c>
      <c r="B14" s="6">
        <v>2003</v>
      </c>
      <c r="C14" s="6">
        <v>100.15</v>
      </c>
    </row>
    <row r="15" spans="1:10" x14ac:dyDescent="0.3">
      <c r="A15" t="s">
        <v>159</v>
      </c>
      <c r="B15" s="6">
        <v>754</v>
      </c>
      <c r="C15" s="6">
        <v>7.54</v>
      </c>
    </row>
    <row r="16" spans="1:10" x14ac:dyDescent="0.3">
      <c r="A16" t="s">
        <v>148</v>
      </c>
      <c r="B16" s="6">
        <v>3161</v>
      </c>
      <c r="C16" s="6">
        <v>158.05000000000001</v>
      </c>
    </row>
    <row r="17" spans="1:3" x14ac:dyDescent="0.3">
      <c r="A17" t="s">
        <v>152</v>
      </c>
      <c r="B17" s="6">
        <v>1877</v>
      </c>
      <c r="C17" s="6">
        <v>93.850000000000009</v>
      </c>
    </row>
    <row r="18" spans="1:3" x14ac:dyDescent="0.3">
      <c r="A18" t="s">
        <v>154</v>
      </c>
      <c r="B18" s="6">
        <v>441</v>
      </c>
      <c r="C18" s="6">
        <v>4.41</v>
      </c>
    </row>
    <row r="19" spans="1:3" x14ac:dyDescent="0.3">
      <c r="A19" t="s">
        <v>59</v>
      </c>
      <c r="B19" s="6">
        <v>19149</v>
      </c>
      <c r="C19" s="6">
        <v>957.45</v>
      </c>
    </row>
    <row r="20" spans="1:3" x14ac:dyDescent="0.3">
      <c r="C20"/>
    </row>
    <row r="21" spans="1:3" x14ac:dyDescent="0.3">
      <c r="C21"/>
    </row>
    <row r="22" spans="1:3" x14ac:dyDescent="0.3">
      <c r="C22"/>
    </row>
    <row r="23" spans="1:3" x14ac:dyDescent="0.3">
      <c r="C23"/>
    </row>
    <row r="24" spans="1:3" x14ac:dyDescent="0.3">
      <c r="C24"/>
    </row>
    <row r="25" spans="1:3" x14ac:dyDescent="0.3">
      <c r="C25"/>
    </row>
    <row r="26" spans="1:3" x14ac:dyDescent="0.3">
      <c r="C26"/>
    </row>
    <row r="27" spans="1:3" x14ac:dyDescent="0.3">
      <c r="C27"/>
    </row>
    <row r="28" spans="1:3" x14ac:dyDescent="0.3">
      <c r="C28"/>
    </row>
    <row r="29" spans="1:3" x14ac:dyDescent="0.3">
      <c r="C29"/>
    </row>
    <row r="30" spans="1:3" x14ac:dyDescent="0.3">
      <c r="C30"/>
    </row>
    <row r="31" spans="1:3" x14ac:dyDescent="0.3">
      <c r="C31"/>
    </row>
    <row r="32" spans="1:3" x14ac:dyDescent="0.3">
      <c r="C32"/>
    </row>
    <row r="33" spans="3:3" x14ac:dyDescent="0.3">
      <c r="C33"/>
    </row>
    <row r="34" spans="3:3" x14ac:dyDescent="0.3">
      <c r="C34"/>
    </row>
    <row r="35" spans="3:3" x14ac:dyDescent="0.3">
      <c r="C35"/>
    </row>
    <row r="36" spans="3:3" x14ac:dyDescent="0.3">
      <c r="C36"/>
    </row>
    <row r="37" spans="3:3" x14ac:dyDescent="0.3">
      <c r="C37"/>
    </row>
    <row r="38" spans="3:3" x14ac:dyDescent="0.3">
      <c r="C38"/>
    </row>
    <row r="39" spans="3:3" x14ac:dyDescent="0.3">
      <c r="C39"/>
    </row>
    <row r="40" spans="3:3" x14ac:dyDescent="0.3">
      <c r="C40"/>
    </row>
    <row r="41" spans="3:3" x14ac:dyDescent="0.3">
      <c r="C41"/>
    </row>
    <row r="42" spans="3:3" x14ac:dyDescent="0.3">
      <c r="C42"/>
    </row>
    <row r="43" spans="3:3" x14ac:dyDescent="0.3">
      <c r="C43"/>
    </row>
    <row r="44" spans="3:3" x14ac:dyDescent="0.3">
      <c r="C44"/>
    </row>
    <row r="45" spans="3:3" x14ac:dyDescent="0.3">
      <c r="C45"/>
    </row>
    <row r="46" spans="3:3" x14ac:dyDescent="0.3">
      <c r="C46"/>
    </row>
    <row r="47" spans="3:3" x14ac:dyDescent="0.3">
      <c r="C47"/>
    </row>
    <row r="48" spans="3:3" x14ac:dyDescent="0.3">
      <c r="C48"/>
    </row>
    <row r="49" spans="3:3" x14ac:dyDescent="0.3">
      <c r="C49"/>
    </row>
    <row r="50" spans="3:3" x14ac:dyDescent="0.3">
      <c r="C50"/>
    </row>
    <row r="51" spans="3:3" x14ac:dyDescent="0.3">
      <c r="C51"/>
    </row>
    <row r="52" spans="3:3" x14ac:dyDescent="0.3">
      <c r="C52"/>
    </row>
    <row r="53" spans="3:3" x14ac:dyDescent="0.3">
      <c r="C53"/>
    </row>
    <row r="54" spans="3:3" x14ac:dyDescent="0.3">
      <c r="C54"/>
    </row>
    <row r="55" spans="3:3" x14ac:dyDescent="0.3">
      <c r="C55"/>
    </row>
    <row r="56" spans="3:3" x14ac:dyDescent="0.3">
      <c r="C56"/>
    </row>
    <row r="57" spans="3:3" x14ac:dyDescent="0.3">
      <c r="C57"/>
    </row>
  </sheetData>
  <pageMargins left="0.7" right="0.7" top="0.75" bottom="0.75" header="0.3" footer="0.3"/>
  <pageSetup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4"/>
  <sheetViews>
    <sheetView workbookViewId="0">
      <pane ySplit="1" topLeftCell="A2" activePane="bottomLeft" state="frozen"/>
      <selection pane="bottomLeft" activeCell="I21" sqref="I21"/>
    </sheetView>
  </sheetViews>
  <sheetFormatPr defaultRowHeight="14.4" x14ac:dyDescent="0.3"/>
  <cols>
    <col min="1" max="1" width="11.6640625" bestFit="1" customWidth="1"/>
    <col min="2" max="5" width="11.6640625" customWidth="1"/>
    <col min="6" max="6" width="6.88671875" bestFit="1" customWidth="1"/>
    <col min="7" max="7" width="8" bestFit="1" customWidth="1"/>
    <col min="8" max="8" width="16.21875" bestFit="1" customWidth="1"/>
    <col min="9" max="9" width="11.21875" bestFit="1" customWidth="1"/>
    <col min="10" max="10" width="34.33203125" bestFit="1" customWidth="1"/>
    <col min="11" max="11" width="37.21875" bestFit="1" customWidth="1"/>
    <col min="12" max="12" width="7.33203125" bestFit="1" customWidth="1"/>
    <col min="17" max="17" width="14.33203125" bestFit="1" customWidth="1"/>
    <col min="18" max="18" width="9.109375" bestFit="1" customWidth="1"/>
    <col min="19" max="19" width="7.77734375" bestFit="1" customWidth="1"/>
    <col min="20" max="20" width="11.21875" bestFit="1" customWidth="1"/>
    <col min="21" max="21" width="5.77734375" bestFit="1" customWidth="1"/>
    <col min="22" max="22" width="19.6640625" bestFit="1" customWidth="1"/>
    <col min="23" max="23" width="13.5546875" bestFit="1" customWidth="1"/>
  </cols>
  <sheetData>
    <row r="1" spans="1:23" x14ac:dyDescent="0.3">
      <c r="A1" t="s">
        <v>50</v>
      </c>
      <c r="B1" s="8" t="s">
        <v>71</v>
      </c>
      <c r="C1" s="8" t="s">
        <v>147</v>
      </c>
      <c r="D1" s="8" t="s">
        <v>125</v>
      </c>
      <c r="E1" t="s">
        <v>67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51</v>
      </c>
      <c r="M1" t="s">
        <v>66</v>
      </c>
      <c r="Q1" t="s">
        <v>49</v>
      </c>
      <c r="R1" t="s">
        <v>0</v>
      </c>
      <c r="S1" t="s">
        <v>1</v>
      </c>
      <c r="T1" t="s">
        <v>2</v>
      </c>
      <c r="U1" t="s">
        <v>3</v>
      </c>
      <c r="V1" t="s">
        <v>4</v>
      </c>
      <c r="W1" t="s">
        <v>5</v>
      </c>
    </row>
    <row r="2" spans="1:23" x14ac:dyDescent="0.3">
      <c r="A2" s="1">
        <v>42415</v>
      </c>
      <c r="B2" s="1" t="s">
        <v>72</v>
      </c>
      <c r="C2" s="1" t="s">
        <v>148</v>
      </c>
      <c r="D2" s="1" t="s">
        <v>126</v>
      </c>
      <c r="E2" s="1" t="s">
        <v>68</v>
      </c>
      <c r="F2" t="s">
        <v>28</v>
      </c>
      <c r="G2">
        <v>26</v>
      </c>
      <c r="H2" t="s">
        <v>24</v>
      </c>
      <c r="I2" t="s">
        <v>62</v>
      </c>
      <c r="J2" t="s">
        <v>25</v>
      </c>
      <c r="K2" t="s">
        <v>31</v>
      </c>
      <c r="L2">
        <v>320</v>
      </c>
      <c r="M2">
        <v>371</v>
      </c>
      <c r="Q2" t="s">
        <v>20</v>
      </c>
      <c r="R2" t="s">
        <v>21</v>
      </c>
      <c r="S2" t="s">
        <v>30</v>
      </c>
      <c r="T2">
        <v>55</v>
      </c>
      <c r="U2" t="s">
        <v>22</v>
      </c>
      <c r="V2" t="s">
        <v>16</v>
      </c>
      <c r="W2" t="s">
        <v>23</v>
      </c>
    </row>
    <row r="3" spans="1:23" x14ac:dyDescent="0.3">
      <c r="A3" s="1">
        <v>42490</v>
      </c>
      <c r="B3" s="1" t="s">
        <v>73</v>
      </c>
      <c r="C3" s="1" t="s">
        <v>149</v>
      </c>
      <c r="D3" s="1" t="s">
        <v>127</v>
      </c>
      <c r="E3" s="1" t="s">
        <v>69</v>
      </c>
      <c r="F3" t="s">
        <v>18</v>
      </c>
      <c r="G3">
        <v>26</v>
      </c>
      <c r="H3" t="s">
        <v>29</v>
      </c>
      <c r="I3" t="s">
        <v>61</v>
      </c>
      <c r="J3" t="s">
        <v>25</v>
      </c>
      <c r="K3" t="s">
        <v>31</v>
      </c>
      <c r="L3">
        <v>490</v>
      </c>
      <c r="M3">
        <v>533</v>
      </c>
      <c r="Q3" t="s">
        <v>32</v>
      </c>
      <c r="R3" t="s">
        <v>21</v>
      </c>
      <c r="S3" t="s">
        <v>14</v>
      </c>
      <c r="T3">
        <v>80</v>
      </c>
      <c r="U3" t="s">
        <v>15</v>
      </c>
      <c r="V3" t="s">
        <v>16</v>
      </c>
      <c r="W3" t="s">
        <v>17</v>
      </c>
    </row>
    <row r="4" spans="1:23" x14ac:dyDescent="0.3">
      <c r="A4" s="1">
        <v>42520</v>
      </c>
      <c r="B4" s="1" t="s">
        <v>74</v>
      </c>
      <c r="C4" s="1" t="s">
        <v>148</v>
      </c>
      <c r="D4" s="1" t="s">
        <v>126</v>
      </c>
      <c r="E4" s="1" t="s">
        <v>70</v>
      </c>
      <c r="F4" t="s">
        <v>28</v>
      </c>
      <c r="G4">
        <v>36</v>
      </c>
      <c r="H4" t="s">
        <v>35</v>
      </c>
      <c r="I4" t="s">
        <v>62</v>
      </c>
      <c r="J4" t="s">
        <v>36</v>
      </c>
      <c r="K4" t="s">
        <v>31</v>
      </c>
      <c r="L4">
        <v>464</v>
      </c>
      <c r="M4">
        <v>555</v>
      </c>
      <c r="Q4" t="s">
        <v>32</v>
      </c>
      <c r="R4" t="s">
        <v>21</v>
      </c>
      <c r="S4" t="s">
        <v>14</v>
      </c>
      <c r="T4">
        <v>80</v>
      </c>
      <c r="U4" t="s">
        <v>15</v>
      </c>
      <c r="V4" t="s">
        <v>16</v>
      </c>
      <c r="W4" t="s">
        <v>17</v>
      </c>
    </row>
    <row r="5" spans="1:23" x14ac:dyDescent="0.3">
      <c r="A5" s="1">
        <v>42535</v>
      </c>
      <c r="B5" s="1" t="s">
        <v>75</v>
      </c>
      <c r="C5" s="1" t="s">
        <v>150</v>
      </c>
      <c r="D5" s="1" t="s">
        <v>126</v>
      </c>
      <c r="E5" s="1" t="s">
        <v>69</v>
      </c>
      <c r="F5" t="s">
        <v>18</v>
      </c>
      <c r="G5">
        <v>41</v>
      </c>
      <c r="H5" t="s">
        <v>29</v>
      </c>
      <c r="I5" t="s">
        <v>62</v>
      </c>
      <c r="J5" t="s">
        <v>63</v>
      </c>
      <c r="K5" t="s">
        <v>31</v>
      </c>
      <c r="L5">
        <v>100</v>
      </c>
      <c r="M5">
        <v>199</v>
      </c>
      <c r="Q5" t="s">
        <v>12</v>
      </c>
      <c r="R5" t="s">
        <v>40</v>
      </c>
      <c r="S5" t="s">
        <v>14</v>
      </c>
      <c r="T5">
        <v>80</v>
      </c>
      <c r="U5" t="s">
        <v>26</v>
      </c>
      <c r="V5" t="s">
        <v>27</v>
      </c>
      <c r="W5" t="s">
        <v>17</v>
      </c>
    </row>
    <row r="6" spans="1:23" x14ac:dyDescent="0.3">
      <c r="A6" s="1">
        <v>42565</v>
      </c>
      <c r="B6" s="1" t="s">
        <v>76</v>
      </c>
      <c r="C6" s="1" t="s">
        <v>151</v>
      </c>
      <c r="D6" s="1" t="s">
        <v>126</v>
      </c>
      <c r="E6" s="1" t="s">
        <v>70</v>
      </c>
      <c r="F6" t="s">
        <v>18</v>
      </c>
      <c r="G6">
        <v>21</v>
      </c>
      <c r="H6" t="s">
        <v>24</v>
      </c>
      <c r="I6" t="s">
        <v>62</v>
      </c>
      <c r="J6" t="s">
        <v>25</v>
      </c>
      <c r="K6" t="s">
        <v>41</v>
      </c>
      <c r="L6">
        <v>105</v>
      </c>
      <c r="M6">
        <v>140</v>
      </c>
      <c r="Q6" t="s">
        <v>20</v>
      </c>
      <c r="R6" t="s">
        <v>21</v>
      </c>
      <c r="S6" t="s">
        <v>14</v>
      </c>
      <c r="T6">
        <v>55</v>
      </c>
      <c r="U6" t="s">
        <v>22</v>
      </c>
      <c r="V6" t="s">
        <v>27</v>
      </c>
      <c r="W6" t="s">
        <v>23</v>
      </c>
    </row>
    <row r="7" spans="1:23" x14ac:dyDescent="0.3">
      <c r="A7" s="1">
        <v>42580</v>
      </c>
      <c r="B7" s="1" t="s">
        <v>77</v>
      </c>
      <c r="C7" s="1" t="s">
        <v>152</v>
      </c>
      <c r="D7" s="1" t="s">
        <v>127</v>
      </c>
      <c r="E7" s="1" t="s">
        <v>69</v>
      </c>
      <c r="F7" t="s">
        <v>18</v>
      </c>
      <c r="G7">
        <v>50</v>
      </c>
      <c r="H7" t="s">
        <v>29</v>
      </c>
      <c r="I7" t="s">
        <v>61</v>
      </c>
      <c r="J7" t="s">
        <v>63</v>
      </c>
      <c r="K7" t="s">
        <v>42</v>
      </c>
      <c r="L7">
        <v>263</v>
      </c>
      <c r="M7">
        <v>354</v>
      </c>
      <c r="Q7" t="s">
        <v>20</v>
      </c>
      <c r="R7" t="s">
        <v>21</v>
      </c>
      <c r="S7" t="s">
        <v>33</v>
      </c>
      <c r="T7">
        <v>30</v>
      </c>
      <c r="U7" t="s">
        <v>22</v>
      </c>
      <c r="V7" t="s">
        <v>16</v>
      </c>
      <c r="W7" t="s">
        <v>23</v>
      </c>
    </row>
    <row r="8" spans="1:23" x14ac:dyDescent="0.3">
      <c r="A8" s="1">
        <v>42610</v>
      </c>
      <c r="B8" s="1" t="s">
        <v>78</v>
      </c>
      <c r="C8" s="1" t="s">
        <v>153</v>
      </c>
      <c r="D8" s="1" t="s">
        <v>126</v>
      </c>
      <c r="E8" s="1" t="s">
        <v>68</v>
      </c>
      <c r="F8" t="s">
        <v>28</v>
      </c>
      <c r="G8">
        <v>21</v>
      </c>
      <c r="H8" t="s">
        <v>24</v>
      </c>
      <c r="I8" t="s">
        <v>62</v>
      </c>
      <c r="J8" t="s">
        <v>25</v>
      </c>
      <c r="K8" t="s">
        <v>64</v>
      </c>
      <c r="L8">
        <v>280</v>
      </c>
      <c r="M8">
        <v>360</v>
      </c>
      <c r="Q8" t="s">
        <v>12</v>
      </c>
      <c r="R8" t="s">
        <v>21</v>
      </c>
      <c r="S8" t="s">
        <v>14</v>
      </c>
      <c r="T8">
        <v>55</v>
      </c>
      <c r="U8" t="s">
        <v>26</v>
      </c>
      <c r="V8" t="s">
        <v>27</v>
      </c>
      <c r="W8" t="s">
        <v>23</v>
      </c>
    </row>
    <row r="9" spans="1:23" x14ac:dyDescent="0.3">
      <c r="A9" s="1">
        <v>42625</v>
      </c>
      <c r="B9" s="1" t="s">
        <v>79</v>
      </c>
      <c r="C9" s="1" t="s">
        <v>154</v>
      </c>
      <c r="D9" s="1" t="s">
        <v>127</v>
      </c>
      <c r="E9" s="1" t="s">
        <v>69</v>
      </c>
      <c r="F9" t="s">
        <v>18</v>
      </c>
      <c r="G9">
        <v>41</v>
      </c>
      <c r="H9" t="s">
        <v>24</v>
      </c>
      <c r="I9" t="s">
        <v>62</v>
      </c>
      <c r="J9" t="s">
        <v>65</v>
      </c>
      <c r="K9" t="s">
        <v>64</v>
      </c>
      <c r="L9">
        <v>409</v>
      </c>
      <c r="M9">
        <v>441</v>
      </c>
      <c r="Q9" t="s">
        <v>20</v>
      </c>
      <c r="R9" t="s">
        <v>21</v>
      </c>
      <c r="S9" t="s">
        <v>14</v>
      </c>
      <c r="T9">
        <v>80</v>
      </c>
      <c r="U9" t="s">
        <v>22</v>
      </c>
      <c r="V9" t="s">
        <v>16</v>
      </c>
      <c r="W9" t="s">
        <v>17</v>
      </c>
    </row>
    <row r="10" spans="1:23" x14ac:dyDescent="0.3">
      <c r="A10" s="1">
        <v>42670</v>
      </c>
      <c r="B10" s="1" t="s">
        <v>80</v>
      </c>
      <c r="C10" s="1" t="s">
        <v>155</v>
      </c>
      <c r="D10" s="1" t="s">
        <v>126</v>
      </c>
      <c r="E10" s="1" t="s">
        <v>70</v>
      </c>
      <c r="F10" t="s">
        <v>18</v>
      </c>
      <c r="G10">
        <v>26</v>
      </c>
      <c r="H10" t="s">
        <v>29</v>
      </c>
      <c r="I10" t="s">
        <v>61</v>
      </c>
      <c r="J10" t="s">
        <v>25</v>
      </c>
      <c r="K10" t="s">
        <v>31</v>
      </c>
      <c r="L10">
        <v>354</v>
      </c>
      <c r="M10">
        <v>384</v>
      </c>
      <c r="Q10" t="s">
        <v>12</v>
      </c>
      <c r="R10" t="s">
        <v>43</v>
      </c>
      <c r="S10" t="s">
        <v>14</v>
      </c>
      <c r="T10">
        <v>55</v>
      </c>
      <c r="U10" t="s">
        <v>15</v>
      </c>
      <c r="V10" t="s">
        <v>27</v>
      </c>
      <c r="W10" t="s">
        <v>23</v>
      </c>
    </row>
    <row r="11" spans="1:23" x14ac:dyDescent="0.3">
      <c r="A11" s="1">
        <v>42700</v>
      </c>
      <c r="B11" s="1" t="s">
        <v>81</v>
      </c>
      <c r="C11" s="1" t="s">
        <v>156</v>
      </c>
      <c r="D11" s="1" t="s">
        <v>126</v>
      </c>
      <c r="E11" s="1" t="s">
        <v>69</v>
      </c>
      <c r="F11" t="s">
        <v>28</v>
      </c>
      <c r="G11">
        <v>31</v>
      </c>
      <c r="H11" t="s">
        <v>24</v>
      </c>
      <c r="I11" t="s">
        <v>62</v>
      </c>
      <c r="J11" t="s">
        <v>25</v>
      </c>
      <c r="K11" t="s">
        <v>44</v>
      </c>
      <c r="L11">
        <v>107</v>
      </c>
      <c r="M11">
        <v>194</v>
      </c>
      <c r="Q11" t="s">
        <v>12</v>
      </c>
      <c r="R11" t="s">
        <v>13</v>
      </c>
      <c r="S11" t="s">
        <v>14</v>
      </c>
      <c r="T11">
        <v>80</v>
      </c>
      <c r="U11" t="s">
        <v>26</v>
      </c>
      <c r="V11" t="s">
        <v>27</v>
      </c>
      <c r="W11" t="s">
        <v>23</v>
      </c>
    </row>
    <row r="12" spans="1:23" x14ac:dyDescent="0.3">
      <c r="A12" s="1">
        <v>42745</v>
      </c>
      <c r="B12" s="1" t="s">
        <v>82</v>
      </c>
      <c r="C12" s="1" t="s">
        <v>151</v>
      </c>
      <c r="D12" s="1" t="s">
        <v>126</v>
      </c>
      <c r="E12" s="1" t="s">
        <v>70</v>
      </c>
      <c r="F12" t="s">
        <v>28</v>
      </c>
      <c r="G12">
        <v>31</v>
      </c>
      <c r="H12" t="s">
        <v>19</v>
      </c>
      <c r="I12" t="s">
        <v>62</v>
      </c>
      <c r="J12" t="s">
        <v>63</v>
      </c>
      <c r="K12" t="s">
        <v>31</v>
      </c>
      <c r="L12">
        <v>165</v>
      </c>
      <c r="M12">
        <v>259</v>
      </c>
      <c r="Q12" t="s">
        <v>20</v>
      </c>
      <c r="R12" t="s">
        <v>21</v>
      </c>
      <c r="S12" t="s">
        <v>33</v>
      </c>
      <c r="T12">
        <v>30</v>
      </c>
      <c r="U12" t="s">
        <v>22</v>
      </c>
      <c r="V12" t="s">
        <v>46</v>
      </c>
      <c r="W12" t="s">
        <v>17</v>
      </c>
    </row>
    <row r="13" spans="1:23" x14ac:dyDescent="0.3">
      <c r="A13" s="1">
        <v>42775</v>
      </c>
      <c r="B13" s="1" t="s">
        <v>83</v>
      </c>
      <c r="C13" s="1" t="s">
        <v>157</v>
      </c>
      <c r="D13" s="1" t="s">
        <v>127</v>
      </c>
      <c r="E13" s="1" t="s">
        <v>69</v>
      </c>
      <c r="F13" t="s">
        <v>18</v>
      </c>
      <c r="G13">
        <v>26</v>
      </c>
      <c r="H13" t="s">
        <v>29</v>
      </c>
      <c r="I13" t="s">
        <v>61</v>
      </c>
      <c r="J13" t="s">
        <v>25</v>
      </c>
      <c r="K13" t="s">
        <v>31</v>
      </c>
      <c r="L13">
        <v>290</v>
      </c>
      <c r="M13">
        <v>367</v>
      </c>
      <c r="Q13" t="s">
        <v>32</v>
      </c>
      <c r="R13" t="s">
        <v>21</v>
      </c>
      <c r="S13" t="s">
        <v>14</v>
      </c>
      <c r="T13">
        <v>55</v>
      </c>
      <c r="U13" t="s">
        <v>15</v>
      </c>
      <c r="V13" t="s">
        <v>38</v>
      </c>
      <c r="W13" t="s">
        <v>17</v>
      </c>
    </row>
    <row r="14" spans="1:23" x14ac:dyDescent="0.3">
      <c r="A14" s="1">
        <v>42865</v>
      </c>
      <c r="B14" s="1" t="s">
        <v>84</v>
      </c>
      <c r="C14" s="1" t="s">
        <v>158</v>
      </c>
      <c r="D14" s="1" t="s">
        <v>126</v>
      </c>
      <c r="E14" s="1" t="s">
        <v>68</v>
      </c>
      <c r="F14" t="s">
        <v>18</v>
      </c>
      <c r="G14">
        <v>41</v>
      </c>
      <c r="H14" t="s">
        <v>29</v>
      </c>
      <c r="I14" t="s">
        <v>61</v>
      </c>
      <c r="J14" t="s">
        <v>65</v>
      </c>
      <c r="K14" t="s">
        <v>47</v>
      </c>
      <c r="L14">
        <v>158</v>
      </c>
      <c r="M14">
        <v>256</v>
      </c>
      <c r="Q14" t="s">
        <v>12</v>
      </c>
      <c r="R14" t="s">
        <v>13</v>
      </c>
      <c r="S14" t="s">
        <v>14</v>
      </c>
      <c r="T14">
        <v>80</v>
      </c>
      <c r="U14" t="s">
        <v>15</v>
      </c>
      <c r="V14" t="s">
        <v>16</v>
      </c>
      <c r="W14" t="s">
        <v>23</v>
      </c>
    </row>
    <row r="15" spans="1:23" x14ac:dyDescent="0.3">
      <c r="A15" s="1">
        <v>42880</v>
      </c>
      <c r="B15" s="1" t="s">
        <v>85</v>
      </c>
      <c r="C15" s="1" t="s">
        <v>155</v>
      </c>
      <c r="D15" s="1" t="s">
        <v>127</v>
      </c>
      <c r="E15" s="1" t="s">
        <v>69</v>
      </c>
      <c r="F15" t="s">
        <v>28</v>
      </c>
      <c r="G15">
        <v>31</v>
      </c>
      <c r="H15" t="s">
        <v>24</v>
      </c>
      <c r="I15" t="s">
        <v>62</v>
      </c>
      <c r="J15" t="s">
        <v>36</v>
      </c>
      <c r="K15" t="s">
        <v>64</v>
      </c>
      <c r="L15">
        <v>445</v>
      </c>
      <c r="M15">
        <v>478</v>
      </c>
      <c r="Q15" t="s">
        <v>12</v>
      </c>
      <c r="R15" t="s">
        <v>13</v>
      </c>
      <c r="S15" t="s">
        <v>14</v>
      </c>
      <c r="T15">
        <v>30</v>
      </c>
      <c r="U15" t="s">
        <v>37</v>
      </c>
      <c r="V15" t="s">
        <v>46</v>
      </c>
      <c r="W15" t="s">
        <v>17</v>
      </c>
    </row>
    <row r="16" spans="1:23" x14ac:dyDescent="0.3">
      <c r="A16" s="1">
        <v>42970</v>
      </c>
      <c r="B16" s="1" t="s">
        <v>86</v>
      </c>
      <c r="C16" s="1" t="s">
        <v>159</v>
      </c>
      <c r="D16" s="1" t="s">
        <v>126</v>
      </c>
      <c r="E16" s="1" t="s">
        <v>70</v>
      </c>
      <c r="F16" t="s">
        <v>18</v>
      </c>
      <c r="G16">
        <v>26</v>
      </c>
      <c r="H16" t="s">
        <v>29</v>
      </c>
      <c r="I16" t="s">
        <v>62</v>
      </c>
      <c r="J16" t="s">
        <v>25</v>
      </c>
      <c r="K16" t="s">
        <v>31</v>
      </c>
      <c r="L16">
        <v>242</v>
      </c>
      <c r="M16">
        <v>299</v>
      </c>
      <c r="Q16" t="s">
        <v>12</v>
      </c>
      <c r="R16" t="s">
        <v>40</v>
      </c>
      <c r="S16" t="s">
        <v>14</v>
      </c>
      <c r="T16">
        <v>80</v>
      </c>
      <c r="U16" t="s">
        <v>26</v>
      </c>
      <c r="V16" t="s">
        <v>27</v>
      </c>
      <c r="W16" t="s">
        <v>17</v>
      </c>
    </row>
    <row r="17" spans="1:23" x14ac:dyDescent="0.3">
      <c r="A17" s="1">
        <v>43000</v>
      </c>
      <c r="B17" s="1" t="s">
        <v>87</v>
      </c>
      <c r="C17" s="1" t="s">
        <v>160</v>
      </c>
      <c r="D17" s="1" t="s">
        <v>126</v>
      </c>
      <c r="E17" s="1" t="s">
        <v>69</v>
      </c>
      <c r="F17" t="s">
        <v>28</v>
      </c>
      <c r="G17">
        <v>31</v>
      </c>
      <c r="H17" t="s">
        <v>29</v>
      </c>
      <c r="I17" t="s">
        <v>62</v>
      </c>
      <c r="J17" t="s">
        <v>65</v>
      </c>
      <c r="K17" t="s">
        <v>31</v>
      </c>
      <c r="L17">
        <v>292</v>
      </c>
      <c r="M17">
        <v>376</v>
      </c>
      <c r="Q17" t="s">
        <v>12</v>
      </c>
      <c r="R17" t="s">
        <v>40</v>
      </c>
      <c r="S17" t="s">
        <v>14</v>
      </c>
      <c r="T17">
        <v>80</v>
      </c>
      <c r="U17" t="s">
        <v>26</v>
      </c>
      <c r="V17" t="s">
        <v>27</v>
      </c>
      <c r="W17" t="s">
        <v>23</v>
      </c>
    </row>
    <row r="18" spans="1:23" x14ac:dyDescent="0.3">
      <c r="A18" s="1">
        <v>43060</v>
      </c>
      <c r="B18" s="1" t="s">
        <v>88</v>
      </c>
      <c r="C18" s="1" t="s">
        <v>149</v>
      </c>
      <c r="D18" s="1" t="s">
        <v>126</v>
      </c>
      <c r="E18" s="1" t="s">
        <v>70</v>
      </c>
      <c r="F18" t="s">
        <v>28</v>
      </c>
      <c r="G18">
        <v>36</v>
      </c>
      <c r="H18" t="s">
        <v>35</v>
      </c>
      <c r="I18" t="s">
        <v>62</v>
      </c>
      <c r="J18" t="s">
        <v>36</v>
      </c>
      <c r="K18" t="s">
        <v>31</v>
      </c>
      <c r="L18">
        <v>477</v>
      </c>
      <c r="M18">
        <v>546</v>
      </c>
      <c r="Q18" t="s">
        <v>32</v>
      </c>
      <c r="R18" t="s">
        <v>21</v>
      </c>
      <c r="S18" t="s">
        <v>14</v>
      </c>
      <c r="T18">
        <v>80</v>
      </c>
      <c r="U18" t="s">
        <v>15</v>
      </c>
      <c r="V18" t="s">
        <v>46</v>
      </c>
      <c r="W18" t="s">
        <v>17</v>
      </c>
    </row>
    <row r="19" spans="1:23" x14ac:dyDescent="0.3">
      <c r="A19" s="1">
        <v>43105</v>
      </c>
      <c r="B19" s="1" t="s">
        <v>89</v>
      </c>
      <c r="C19" s="1" t="s">
        <v>149</v>
      </c>
      <c r="D19" s="1" t="s">
        <v>127</v>
      </c>
      <c r="E19" s="1" t="s">
        <v>69</v>
      </c>
      <c r="F19" t="s">
        <v>28</v>
      </c>
      <c r="G19">
        <v>50</v>
      </c>
      <c r="H19" t="s">
        <v>24</v>
      </c>
      <c r="I19" t="s">
        <v>62</v>
      </c>
      <c r="J19" t="s">
        <v>63</v>
      </c>
      <c r="K19" t="s">
        <v>42</v>
      </c>
      <c r="L19">
        <v>446</v>
      </c>
      <c r="M19">
        <v>490</v>
      </c>
      <c r="Q19" t="s">
        <v>32</v>
      </c>
      <c r="R19" t="s">
        <v>21</v>
      </c>
      <c r="S19" t="s">
        <v>14</v>
      </c>
      <c r="T19">
        <v>55</v>
      </c>
      <c r="U19" t="s">
        <v>37</v>
      </c>
      <c r="V19" t="s">
        <v>46</v>
      </c>
      <c r="W19" t="s">
        <v>17</v>
      </c>
    </row>
    <row r="20" spans="1:23" x14ac:dyDescent="0.3">
      <c r="A20" s="1">
        <v>43165</v>
      </c>
      <c r="B20" s="1" t="s">
        <v>90</v>
      </c>
      <c r="C20" s="1" t="s">
        <v>148</v>
      </c>
      <c r="D20" s="1" t="s">
        <v>126</v>
      </c>
      <c r="E20" s="1" t="s">
        <v>68</v>
      </c>
      <c r="F20" t="s">
        <v>18</v>
      </c>
      <c r="G20">
        <v>41</v>
      </c>
      <c r="H20" t="s">
        <v>29</v>
      </c>
      <c r="I20" t="s">
        <v>61</v>
      </c>
      <c r="J20" t="s">
        <v>63</v>
      </c>
      <c r="K20" t="s">
        <v>42</v>
      </c>
      <c r="L20">
        <v>379</v>
      </c>
      <c r="M20">
        <v>468</v>
      </c>
      <c r="Q20" t="s">
        <v>20</v>
      </c>
      <c r="R20" t="s">
        <v>21</v>
      </c>
      <c r="S20" t="s">
        <v>14</v>
      </c>
      <c r="T20">
        <v>55</v>
      </c>
      <c r="U20" t="s">
        <v>22</v>
      </c>
      <c r="V20" t="s">
        <v>38</v>
      </c>
      <c r="W20" t="s">
        <v>17</v>
      </c>
    </row>
    <row r="21" spans="1:23" x14ac:dyDescent="0.3">
      <c r="A21" s="1">
        <v>43195</v>
      </c>
      <c r="B21" s="1" t="s">
        <v>91</v>
      </c>
      <c r="C21" s="1" t="s">
        <v>161</v>
      </c>
      <c r="D21" s="1" t="s">
        <v>127</v>
      </c>
      <c r="E21" s="1" t="s">
        <v>69</v>
      </c>
      <c r="F21" t="s">
        <v>18</v>
      </c>
      <c r="G21">
        <v>26</v>
      </c>
      <c r="H21" t="s">
        <v>29</v>
      </c>
      <c r="I21" t="s">
        <v>62</v>
      </c>
      <c r="J21" t="s">
        <v>63</v>
      </c>
      <c r="K21" t="s">
        <v>44</v>
      </c>
      <c r="L21">
        <v>232</v>
      </c>
      <c r="M21">
        <v>310</v>
      </c>
      <c r="Q21" t="s">
        <v>20</v>
      </c>
      <c r="R21" t="s">
        <v>21</v>
      </c>
      <c r="S21" t="s">
        <v>33</v>
      </c>
      <c r="T21">
        <v>30</v>
      </c>
      <c r="U21" t="s">
        <v>22</v>
      </c>
      <c r="V21" t="s">
        <v>46</v>
      </c>
      <c r="W21" t="s">
        <v>17</v>
      </c>
    </row>
    <row r="22" spans="1:23" x14ac:dyDescent="0.3">
      <c r="A22" s="1">
        <v>43240</v>
      </c>
      <c r="B22" s="1" t="s">
        <v>92</v>
      </c>
      <c r="C22" s="1" t="s">
        <v>148</v>
      </c>
      <c r="D22" s="1" t="s">
        <v>126</v>
      </c>
      <c r="E22" s="1" t="s">
        <v>70</v>
      </c>
      <c r="F22" t="s">
        <v>18</v>
      </c>
      <c r="G22">
        <v>41</v>
      </c>
      <c r="H22" t="s">
        <v>29</v>
      </c>
      <c r="I22" t="s">
        <v>61</v>
      </c>
      <c r="J22" t="s">
        <v>63</v>
      </c>
      <c r="K22" t="s">
        <v>42</v>
      </c>
      <c r="L22">
        <v>239</v>
      </c>
      <c r="M22">
        <v>273</v>
      </c>
      <c r="Q22" t="s">
        <v>12</v>
      </c>
      <c r="R22" t="s">
        <v>13</v>
      </c>
      <c r="S22" t="s">
        <v>14</v>
      </c>
      <c r="T22">
        <v>80</v>
      </c>
      <c r="U22" t="s">
        <v>45</v>
      </c>
      <c r="V22" t="s">
        <v>27</v>
      </c>
      <c r="W22" t="s">
        <v>23</v>
      </c>
    </row>
    <row r="23" spans="1:23" x14ac:dyDescent="0.3">
      <c r="A23" s="1">
        <v>43255</v>
      </c>
      <c r="B23" s="1" t="s">
        <v>93</v>
      </c>
      <c r="C23" s="1" t="s">
        <v>157</v>
      </c>
      <c r="D23" s="1" t="s">
        <v>126</v>
      </c>
      <c r="E23" s="1" t="s">
        <v>69</v>
      </c>
      <c r="F23" t="s">
        <v>28</v>
      </c>
      <c r="G23">
        <v>36</v>
      </c>
      <c r="H23" t="s">
        <v>29</v>
      </c>
      <c r="I23" t="s">
        <v>61</v>
      </c>
      <c r="J23" t="s">
        <v>63</v>
      </c>
      <c r="K23" t="s">
        <v>47</v>
      </c>
      <c r="L23">
        <v>325</v>
      </c>
      <c r="M23">
        <v>389</v>
      </c>
      <c r="Q23" t="s">
        <v>12</v>
      </c>
      <c r="R23" t="s">
        <v>13</v>
      </c>
      <c r="S23" t="s">
        <v>14</v>
      </c>
      <c r="T23">
        <v>80</v>
      </c>
      <c r="U23" t="s">
        <v>45</v>
      </c>
      <c r="V23" t="s">
        <v>27</v>
      </c>
      <c r="W23" t="s">
        <v>17</v>
      </c>
    </row>
    <row r="24" spans="1:23" x14ac:dyDescent="0.3">
      <c r="A24" s="1">
        <v>43315</v>
      </c>
      <c r="B24" s="1" t="s">
        <v>94</v>
      </c>
      <c r="C24" s="1" t="s">
        <v>151</v>
      </c>
      <c r="D24" s="1" t="s">
        <v>126</v>
      </c>
      <c r="E24" s="1" t="s">
        <v>70</v>
      </c>
      <c r="F24" t="s">
        <v>18</v>
      </c>
      <c r="G24">
        <v>50</v>
      </c>
      <c r="H24" t="s">
        <v>29</v>
      </c>
      <c r="I24" t="s">
        <v>61</v>
      </c>
      <c r="J24" t="s">
        <v>65</v>
      </c>
      <c r="K24" t="s">
        <v>31</v>
      </c>
      <c r="L24">
        <v>437</v>
      </c>
      <c r="M24">
        <v>512</v>
      </c>
      <c r="Q24" t="s">
        <v>12</v>
      </c>
      <c r="R24" t="s">
        <v>13</v>
      </c>
      <c r="S24" t="s">
        <v>14</v>
      </c>
      <c r="T24">
        <v>80</v>
      </c>
      <c r="U24" t="s">
        <v>15</v>
      </c>
      <c r="V24" t="s">
        <v>16</v>
      </c>
      <c r="W24" t="s">
        <v>23</v>
      </c>
    </row>
    <row r="25" spans="1:23" x14ac:dyDescent="0.3">
      <c r="A25" s="1">
        <v>43345</v>
      </c>
      <c r="B25" s="1" t="s">
        <v>95</v>
      </c>
      <c r="C25" s="1" t="s">
        <v>161</v>
      </c>
      <c r="D25" s="1" t="s">
        <v>127</v>
      </c>
      <c r="E25" s="1" t="s">
        <v>69</v>
      </c>
      <c r="F25" t="s">
        <v>18</v>
      </c>
      <c r="G25">
        <v>31</v>
      </c>
      <c r="H25" t="s">
        <v>29</v>
      </c>
      <c r="I25" t="s">
        <v>61</v>
      </c>
      <c r="J25" t="s">
        <v>63</v>
      </c>
      <c r="K25" t="s">
        <v>42</v>
      </c>
      <c r="L25">
        <v>228</v>
      </c>
      <c r="M25">
        <v>321</v>
      </c>
      <c r="Q25" t="s">
        <v>32</v>
      </c>
      <c r="R25" t="s">
        <v>21</v>
      </c>
      <c r="S25" t="s">
        <v>14</v>
      </c>
      <c r="T25">
        <v>80</v>
      </c>
      <c r="U25" t="s">
        <v>37</v>
      </c>
      <c r="V25" t="s">
        <v>16</v>
      </c>
      <c r="W25" t="s">
        <v>23</v>
      </c>
    </row>
    <row r="26" spans="1:23" x14ac:dyDescent="0.3">
      <c r="A26" s="1">
        <v>43375</v>
      </c>
      <c r="B26" s="1" t="s">
        <v>96</v>
      </c>
      <c r="C26" s="1" t="s">
        <v>162</v>
      </c>
      <c r="D26" s="1" t="s">
        <v>126</v>
      </c>
      <c r="E26" s="1" t="s">
        <v>68</v>
      </c>
      <c r="F26" t="s">
        <v>18</v>
      </c>
      <c r="G26">
        <v>36</v>
      </c>
      <c r="H26" t="s">
        <v>19</v>
      </c>
      <c r="I26" t="s">
        <v>61</v>
      </c>
      <c r="J26" t="s">
        <v>65</v>
      </c>
      <c r="K26" t="s">
        <v>48</v>
      </c>
      <c r="L26">
        <v>285</v>
      </c>
      <c r="M26">
        <v>366</v>
      </c>
      <c r="Q26" t="s">
        <v>12</v>
      </c>
      <c r="R26" t="s">
        <v>43</v>
      </c>
      <c r="S26" t="s">
        <v>33</v>
      </c>
      <c r="T26">
        <v>30</v>
      </c>
      <c r="U26" t="s">
        <v>15</v>
      </c>
      <c r="V26" t="s">
        <v>38</v>
      </c>
      <c r="W26" t="s">
        <v>17</v>
      </c>
    </row>
    <row r="27" spans="1:23" x14ac:dyDescent="0.3">
      <c r="A27" s="1">
        <v>43480</v>
      </c>
      <c r="B27" s="1" t="s">
        <v>97</v>
      </c>
      <c r="C27" s="1" t="s">
        <v>157</v>
      </c>
      <c r="D27" s="1" t="s">
        <v>127</v>
      </c>
      <c r="E27" s="1" t="s">
        <v>69</v>
      </c>
      <c r="F27" t="s">
        <v>28</v>
      </c>
      <c r="G27">
        <v>36</v>
      </c>
      <c r="H27" t="s">
        <v>24</v>
      </c>
      <c r="I27" t="s">
        <v>62</v>
      </c>
      <c r="J27" t="s">
        <v>63</v>
      </c>
      <c r="K27" t="s">
        <v>42</v>
      </c>
      <c r="L27">
        <v>196</v>
      </c>
      <c r="M27">
        <v>251</v>
      </c>
      <c r="Q27" t="s">
        <v>32</v>
      </c>
      <c r="R27" t="s">
        <v>21</v>
      </c>
      <c r="S27" t="s">
        <v>14</v>
      </c>
      <c r="T27">
        <v>55</v>
      </c>
      <c r="U27" t="s">
        <v>15</v>
      </c>
      <c r="V27" t="s">
        <v>34</v>
      </c>
      <c r="W27" t="s">
        <v>23</v>
      </c>
    </row>
    <row r="28" spans="1:23" x14ac:dyDescent="0.3">
      <c r="A28" s="1">
        <v>43600</v>
      </c>
      <c r="B28" s="1" t="s">
        <v>98</v>
      </c>
      <c r="C28" s="1" t="s">
        <v>162</v>
      </c>
      <c r="D28" s="1" t="s">
        <v>126</v>
      </c>
      <c r="E28" s="1" t="s">
        <v>70</v>
      </c>
      <c r="F28" t="s">
        <v>28</v>
      </c>
      <c r="G28">
        <v>50</v>
      </c>
      <c r="H28" t="s">
        <v>29</v>
      </c>
      <c r="I28" t="s">
        <v>61</v>
      </c>
      <c r="J28" t="s">
        <v>65</v>
      </c>
      <c r="K28" t="s">
        <v>42</v>
      </c>
      <c r="L28">
        <v>201</v>
      </c>
      <c r="M28">
        <v>292</v>
      </c>
      <c r="Q28" t="s">
        <v>20</v>
      </c>
      <c r="R28" t="s">
        <v>21</v>
      </c>
      <c r="S28" t="s">
        <v>14</v>
      </c>
      <c r="T28">
        <v>80</v>
      </c>
      <c r="U28" t="s">
        <v>22</v>
      </c>
      <c r="V28" t="s">
        <v>34</v>
      </c>
      <c r="W28" t="s">
        <v>17</v>
      </c>
    </row>
    <row r="29" spans="1:23" x14ac:dyDescent="0.3">
      <c r="A29" s="1">
        <v>43690</v>
      </c>
      <c r="B29" s="1" t="s">
        <v>99</v>
      </c>
      <c r="C29" s="1" t="s">
        <v>151</v>
      </c>
      <c r="D29" s="1" t="s">
        <v>126</v>
      </c>
      <c r="E29" s="1" t="s">
        <v>69</v>
      </c>
      <c r="F29" t="s">
        <v>18</v>
      </c>
      <c r="G29">
        <v>21</v>
      </c>
      <c r="H29" t="s">
        <v>19</v>
      </c>
      <c r="I29" t="s">
        <v>62</v>
      </c>
      <c r="J29" t="s">
        <v>25</v>
      </c>
      <c r="K29" t="s">
        <v>42</v>
      </c>
      <c r="L29">
        <v>196</v>
      </c>
      <c r="M29">
        <v>251</v>
      </c>
      <c r="Q29" t="s">
        <v>12</v>
      </c>
      <c r="R29" t="s">
        <v>40</v>
      </c>
      <c r="S29" t="s">
        <v>14</v>
      </c>
      <c r="T29">
        <v>80</v>
      </c>
      <c r="U29" t="s">
        <v>15</v>
      </c>
      <c r="V29" t="s">
        <v>38</v>
      </c>
      <c r="W29" t="s">
        <v>23</v>
      </c>
    </row>
    <row r="30" spans="1:23" x14ac:dyDescent="0.3">
      <c r="A30" s="1">
        <v>43750</v>
      </c>
      <c r="B30" s="1" t="s">
        <v>100</v>
      </c>
      <c r="C30" s="1" t="s">
        <v>152</v>
      </c>
      <c r="D30" s="1" t="s">
        <v>126</v>
      </c>
      <c r="E30" s="1" t="s">
        <v>70</v>
      </c>
      <c r="F30" t="s">
        <v>28</v>
      </c>
      <c r="G30">
        <v>31</v>
      </c>
      <c r="H30" t="s">
        <v>29</v>
      </c>
      <c r="I30" t="s">
        <v>62</v>
      </c>
      <c r="J30" t="s">
        <v>65</v>
      </c>
      <c r="K30" t="s">
        <v>31</v>
      </c>
      <c r="L30">
        <v>196</v>
      </c>
      <c r="M30">
        <v>283</v>
      </c>
      <c r="Q30" t="s">
        <v>12</v>
      </c>
      <c r="R30" t="s">
        <v>40</v>
      </c>
      <c r="S30" t="s">
        <v>14</v>
      </c>
      <c r="T30">
        <v>80</v>
      </c>
      <c r="U30" t="s">
        <v>15</v>
      </c>
      <c r="V30" t="s">
        <v>38</v>
      </c>
      <c r="W30" t="s">
        <v>23</v>
      </c>
    </row>
    <row r="31" spans="1:23" x14ac:dyDescent="0.3">
      <c r="A31" s="1">
        <v>43765</v>
      </c>
      <c r="B31" s="1" t="s">
        <v>101</v>
      </c>
      <c r="C31" s="1" t="s">
        <v>158</v>
      </c>
      <c r="D31" s="1" t="s">
        <v>127</v>
      </c>
      <c r="E31" s="1" t="s">
        <v>69</v>
      </c>
      <c r="F31" t="s">
        <v>28</v>
      </c>
      <c r="G31">
        <v>50</v>
      </c>
      <c r="H31" t="s">
        <v>29</v>
      </c>
      <c r="I31" t="s">
        <v>61</v>
      </c>
      <c r="J31" t="s">
        <v>25</v>
      </c>
      <c r="K31" t="s">
        <v>42</v>
      </c>
      <c r="L31">
        <v>287</v>
      </c>
      <c r="M31">
        <v>376</v>
      </c>
      <c r="Q31" t="s">
        <v>32</v>
      </c>
      <c r="R31" t="s">
        <v>21</v>
      </c>
      <c r="S31" t="s">
        <v>14</v>
      </c>
      <c r="T31">
        <v>80</v>
      </c>
      <c r="U31" t="s">
        <v>15</v>
      </c>
      <c r="V31" t="s">
        <v>46</v>
      </c>
      <c r="W31" t="s">
        <v>17</v>
      </c>
    </row>
    <row r="32" spans="1:23" x14ac:dyDescent="0.3">
      <c r="A32" s="1">
        <v>43795</v>
      </c>
      <c r="B32" s="1" t="s">
        <v>102</v>
      </c>
      <c r="C32" s="1" t="s">
        <v>157</v>
      </c>
      <c r="D32" s="1" t="s">
        <v>126</v>
      </c>
      <c r="E32" s="1" t="s">
        <v>68</v>
      </c>
      <c r="F32" t="s">
        <v>18</v>
      </c>
      <c r="G32">
        <v>21</v>
      </c>
      <c r="H32" t="s">
        <v>19</v>
      </c>
      <c r="I32" t="s">
        <v>62</v>
      </c>
      <c r="J32" t="s">
        <v>65</v>
      </c>
      <c r="K32" t="s">
        <v>42</v>
      </c>
      <c r="L32">
        <v>275</v>
      </c>
      <c r="M32">
        <v>346</v>
      </c>
      <c r="Q32" t="s">
        <v>12</v>
      </c>
      <c r="R32" t="s">
        <v>40</v>
      </c>
      <c r="S32" t="s">
        <v>14</v>
      </c>
      <c r="T32">
        <v>80</v>
      </c>
      <c r="U32" t="s">
        <v>26</v>
      </c>
      <c r="V32" t="s">
        <v>27</v>
      </c>
      <c r="W32" t="s">
        <v>17</v>
      </c>
    </row>
    <row r="33" spans="1:23" x14ac:dyDescent="0.3">
      <c r="A33" s="1">
        <v>43840</v>
      </c>
      <c r="B33" s="1" t="s">
        <v>103</v>
      </c>
      <c r="C33" s="1" t="s">
        <v>151</v>
      </c>
      <c r="D33" s="1" t="s">
        <v>127</v>
      </c>
      <c r="E33" s="1" t="s">
        <v>69</v>
      </c>
      <c r="F33" t="s">
        <v>28</v>
      </c>
      <c r="G33">
        <v>31</v>
      </c>
      <c r="H33" t="s">
        <v>29</v>
      </c>
      <c r="I33" t="s">
        <v>61</v>
      </c>
      <c r="J33" t="s">
        <v>65</v>
      </c>
      <c r="K33" t="s">
        <v>64</v>
      </c>
      <c r="L33">
        <v>339</v>
      </c>
      <c r="M33">
        <v>402</v>
      </c>
      <c r="Q33" t="s">
        <v>12</v>
      </c>
      <c r="R33" t="s">
        <v>43</v>
      </c>
      <c r="S33" t="s">
        <v>14</v>
      </c>
      <c r="T33">
        <v>80</v>
      </c>
      <c r="U33" t="s">
        <v>26</v>
      </c>
      <c r="V33" t="s">
        <v>38</v>
      </c>
      <c r="W33" t="s">
        <v>23</v>
      </c>
    </row>
    <row r="34" spans="1:23" x14ac:dyDescent="0.3">
      <c r="A34" s="1">
        <v>43885</v>
      </c>
      <c r="B34" s="1" t="s">
        <v>104</v>
      </c>
      <c r="C34" s="1" t="s">
        <v>160</v>
      </c>
      <c r="D34" s="1" t="s">
        <v>126</v>
      </c>
      <c r="E34" s="1" t="s">
        <v>70</v>
      </c>
      <c r="F34" t="s">
        <v>18</v>
      </c>
      <c r="G34">
        <v>21</v>
      </c>
      <c r="H34" t="s">
        <v>24</v>
      </c>
      <c r="I34" t="s">
        <v>62</v>
      </c>
      <c r="J34" t="s">
        <v>25</v>
      </c>
      <c r="K34" t="s">
        <v>31</v>
      </c>
      <c r="L34">
        <v>442</v>
      </c>
      <c r="M34">
        <v>485</v>
      </c>
      <c r="Q34" t="s">
        <v>12</v>
      </c>
      <c r="R34" t="s">
        <v>43</v>
      </c>
      <c r="S34" t="s">
        <v>14</v>
      </c>
      <c r="T34">
        <v>80</v>
      </c>
      <c r="U34" t="s">
        <v>26</v>
      </c>
      <c r="V34" t="s">
        <v>46</v>
      </c>
      <c r="W34" t="s">
        <v>17</v>
      </c>
    </row>
    <row r="35" spans="1:23" x14ac:dyDescent="0.3">
      <c r="A35" s="1">
        <v>43945</v>
      </c>
      <c r="B35" s="1" t="s">
        <v>105</v>
      </c>
      <c r="C35" s="1" t="s">
        <v>153</v>
      </c>
      <c r="D35" s="1" t="s">
        <v>126</v>
      </c>
      <c r="E35" s="1" t="s">
        <v>69</v>
      </c>
      <c r="F35" t="s">
        <v>28</v>
      </c>
      <c r="G35">
        <v>36</v>
      </c>
      <c r="H35" t="s">
        <v>29</v>
      </c>
      <c r="I35" t="s">
        <v>61</v>
      </c>
      <c r="J35" t="s">
        <v>25</v>
      </c>
      <c r="K35" t="s">
        <v>42</v>
      </c>
      <c r="L35">
        <v>171</v>
      </c>
      <c r="M35">
        <v>262</v>
      </c>
      <c r="Q35" t="s">
        <v>12</v>
      </c>
      <c r="R35" t="s">
        <v>43</v>
      </c>
      <c r="S35" t="s">
        <v>14</v>
      </c>
      <c r="T35">
        <v>80</v>
      </c>
      <c r="U35" t="s">
        <v>26</v>
      </c>
      <c r="V35" t="s">
        <v>38</v>
      </c>
      <c r="W35" t="s">
        <v>17</v>
      </c>
    </row>
    <row r="36" spans="1:23" x14ac:dyDescent="0.3">
      <c r="A36" s="1">
        <v>43990</v>
      </c>
      <c r="B36" s="1" t="s">
        <v>106</v>
      </c>
      <c r="C36" s="1" t="s">
        <v>156</v>
      </c>
      <c r="D36" s="1" t="s">
        <v>126</v>
      </c>
      <c r="E36" s="1" t="s">
        <v>70</v>
      </c>
      <c r="F36" t="s">
        <v>18</v>
      </c>
      <c r="G36">
        <v>31</v>
      </c>
      <c r="H36" t="s">
        <v>29</v>
      </c>
      <c r="I36" t="s">
        <v>61</v>
      </c>
      <c r="J36" t="s">
        <v>25</v>
      </c>
      <c r="K36" t="s">
        <v>31</v>
      </c>
      <c r="L36">
        <v>479</v>
      </c>
      <c r="M36">
        <v>555</v>
      </c>
      <c r="Q36" t="s">
        <v>12</v>
      </c>
      <c r="R36" t="s">
        <v>21</v>
      </c>
      <c r="S36" t="s">
        <v>33</v>
      </c>
      <c r="T36">
        <v>30</v>
      </c>
      <c r="U36" t="s">
        <v>45</v>
      </c>
      <c r="V36" t="s">
        <v>38</v>
      </c>
      <c r="W36" t="s">
        <v>17</v>
      </c>
    </row>
    <row r="37" spans="1:23" x14ac:dyDescent="0.3">
      <c r="A37" s="1">
        <v>44005</v>
      </c>
      <c r="B37" s="1" t="s">
        <v>107</v>
      </c>
      <c r="C37" s="1" t="s">
        <v>150</v>
      </c>
      <c r="D37" s="1" t="s">
        <v>127</v>
      </c>
      <c r="E37" s="1" t="s">
        <v>69</v>
      </c>
      <c r="F37" t="s">
        <v>18</v>
      </c>
      <c r="G37">
        <v>26</v>
      </c>
      <c r="H37" t="s">
        <v>29</v>
      </c>
      <c r="I37" t="s">
        <v>61</v>
      </c>
      <c r="J37" t="s">
        <v>25</v>
      </c>
      <c r="K37" t="s">
        <v>31</v>
      </c>
      <c r="L37">
        <v>171</v>
      </c>
      <c r="M37">
        <v>262</v>
      </c>
      <c r="Q37" t="s">
        <v>12</v>
      </c>
      <c r="R37" t="s">
        <v>13</v>
      </c>
      <c r="S37" t="s">
        <v>14</v>
      </c>
      <c r="T37">
        <v>80</v>
      </c>
      <c r="U37" t="s">
        <v>26</v>
      </c>
      <c r="V37" t="s">
        <v>46</v>
      </c>
      <c r="W37" t="s">
        <v>23</v>
      </c>
    </row>
    <row r="38" spans="1:23" x14ac:dyDescent="0.3">
      <c r="A38" s="1">
        <v>44020</v>
      </c>
      <c r="B38" s="1" t="s">
        <v>108</v>
      </c>
      <c r="C38" s="1" t="s">
        <v>152</v>
      </c>
      <c r="D38" s="1" t="s">
        <v>126</v>
      </c>
      <c r="E38" s="1" t="s">
        <v>68</v>
      </c>
      <c r="F38" t="s">
        <v>28</v>
      </c>
      <c r="G38">
        <v>41</v>
      </c>
      <c r="H38" t="s">
        <v>29</v>
      </c>
      <c r="I38" t="s">
        <v>61</v>
      </c>
      <c r="J38" t="s">
        <v>63</v>
      </c>
      <c r="K38" t="s">
        <v>31</v>
      </c>
      <c r="L38">
        <v>260</v>
      </c>
      <c r="M38">
        <v>340</v>
      </c>
      <c r="Q38" t="s">
        <v>12</v>
      </c>
      <c r="R38" t="s">
        <v>13</v>
      </c>
      <c r="S38" t="s">
        <v>33</v>
      </c>
      <c r="T38">
        <v>30</v>
      </c>
      <c r="U38" t="s">
        <v>37</v>
      </c>
      <c r="V38" t="s">
        <v>46</v>
      </c>
      <c r="W38" t="s">
        <v>17</v>
      </c>
    </row>
    <row r="39" spans="1:23" x14ac:dyDescent="0.3">
      <c r="A39" s="1">
        <v>44065</v>
      </c>
      <c r="B39" s="1" t="s">
        <v>109</v>
      </c>
      <c r="C39" s="1" t="s">
        <v>157</v>
      </c>
      <c r="D39" s="1" t="s">
        <v>127</v>
      </c>
      <c r="E39" s="1" t="s">
        <v>69</v>
      </c>
      <c r="F39" t="s">
        <v>28</v>
      </c>
      <c r="G39">
        <v>31</v>
      </c>
      <c r="H39" t="s">
        <v>35</v>
      </c>
      <c r="I39" t="s">
        <v>61</v>
      </c>
      <c r="J39" t="s">
        <v>39</v>
      </c>
      <c r="K39" t="s">
        <v>47</v>
      </c>
      <c r="L39">
        <v>107</v>
      </c>
      <c r="M39">
        <v>162</v>
      </c>
      <c r="Q39" t="s">
        <v>12</v>
      </c>
      <c r="R39" t="s">
        <v>21</v>
      </c>
      <c r="S39" t="s">
        <v>14</v>
      </c>
      <c r="T39">
        <v>55</v>
      </c>
      <c r="U39" t="s">
        <v>45</v>
      </c>
      <c r="V39" t="s">
        <v>16</v>
      </c>
      <c r="W39" t="s">
        <v>17</v>
      </c>
    </row>
    <row r="40" spans="1:23" x14ac:dyDescent="0.3">
      <c r="A40" s="1">
        <v>44080</v>
      </c>
      <c r="B40" s="1" t="s">
        <v>110</v>
      </c>
      <c r="C40" s="1" t="s">
        <v>158</v>
      </c>
      <c r="D40" s="1" t="s">
        <v>126</v>
      </c>
      <c r="E40" s="1" t="s">
        <v>70</v>
      </c>
      <c r="F40" t="s">
        <v>18</v>
      </c>
      <c r="G40">
        <v>36</v>
      </c>
      <c r="H40" t="s">
        <v>19</v>
      </c>
      <c r="I40" t="s">
        <v>61</v>
      </c>
      <c r="J40" t="s">
        <v>65</v>
      </c>
      <c r="K40" t="s">
        <v>48</v>
      </c>
      <c r="L40">
        <v>262</v>
      </c>
      <c r="M40">
        <v>325</v>
      </c>
      <c r="Q40" t="s">
        <v>32</v>
      </c>
      <c r="R40" t="s">
        <v>40</v>
      </c>
      <c r="S40" t="s">
        <v>14</v>
      </c>
      <c r="T40">
        <v>30</v>
      </c>
      <c r="U40" t="s">
        <v>37</v>
      </c>
      <c r="V40" t="s">
        <v>46</v>
      </c>
      <c r="W40" t="s">
        <v>23</v>
      </c>
    </row>
    <row r="41" spans="1:23" x14ac:dyDescent="0.3">
      <c r="A41" s="1">
        <v>44095</v>
      </c>
      <c r="B41" s="1" t="s">
        <v>111</v>
      </c>
      <c r="C41" s="1" t="s">
        <v>153</v>
      </c>
      <c r="D41" s="1" t="s">
        <v>126</v>
      </c>
      <c r="E41" s="1" t="s">
        <v>69</v>
      </c>
      <c r="F41" t="s">
        <v>28</v>
      </c>
      <c r="G41">
        <v>31</v>
      </c>
      <c r="H41" t="s">
        <v>29</v>
      </c>
      <c r="I41" t="s">
        <v>61</v>
      </c>
      <c r="J41" t="s">
        <v>65</v>
      </c>
      <c r="K41" t="s">
        <v>64</v>
      </c>
      <c r="L41">
        <v>411</v>
      </c>
      <c r="M41">
        <v>491</v>
      </c>
      <c r="Q41" t="s">
        <v>12</v>
      </c>
      <c r="R41" t="s">
        <v>13</v>
      </c>
      <c r="S41" t="s">
        <v>14</v>
      </c>
      <c r="T41">
        <v>80</v>
      </c>
      <c r="U41" t="s">
        <v>26</v>
      </c>
      <c r="V41" t="s">
        <v>27</v>
      </c>
      <c r="W41" t="s">
        <v>23</v>
      </c>
    </row>
    <row r="42" spans="1:23" x14ac:dyDescent="0.3">
      <c r="A42" s="1">
        <v>44125</v>
      </c>
      <c r="B42" s="1" t="s">
        <v>112</v>
      </c>
      <c r="C42" s="1" t="s">
        <v>162</v>
      </c>
      <c r="D42" s="1" t="s">
        <v>126</v>
      </c>
      <c r="E42" s="1" t="s">
        <v>70</v>
      </c>
      <c r="F42" t="s">
        <v>28</v>
      </c>
      <c r="G42">
        <v>26</v>
      </c>
      <c r="H42" t="s">
        <v>24</v>
      </c>
      <c r="I42" t="s">
        <v>62</v>
      </c>
      <c r="J42" t="s">
        <v>25</v>
      </c>
      <c r="K42" t="s">
        <v>42</v>
      </c>
      <c r="L42">
        <v>176</v>
      </c>
      <c r="M42">
        <v>261</v>
      </c>
      <c r="Q42" t="s">
        <v>12</v>
      </c>
      <c r="R42" t="s">
        <v>21</v>
      </c>
      <c r="S42" t="s">
        <v>14</v>
      </c>
      <c r="T42">
        <v>55</v>
      </c>
      <c r="U42" t="s">
        <v>45</v>
      </c>
      <c r="V42" t="s">
        <v>16</v>
      </c>
      <c r="W42" t="s">
        <v>17</v>
      </c>
    </row>
    <row r="43" spans="1:23" x14ac:dyDescent="0.3">
      <c r="A43" s="1">
        <v>44140</v>
      </c>
      <c r="B43" s="1" t="s">
        <v>113</v>
      </c>
      <c r="C43" s="1" t="s">
        <v>148</v>
      </c>
      <c r="D43" s="1" t="s">
        <v>127</v>
      </c>
      <c r="E43" s="1" t="s">
        <v>69</v>
      </c>
      <c r="F43" t="s">
        <v>28</v>
      </c>
      <c r="G43">
        <v>50</v>
      </c>
      <c r="H43" t="s">
        <v>24</v>
      </c>
      <c r="I43" t="s">
        <v>62</v>
      </c>
      <c r="J43" t="s">
        <v>63</v>
      </c>
      <c r="K43" t="s">
        <v>42</v>
      </c>
      <c r="L43">
        <v>423</v>
      </c>
      <c r="M43">
        <v>512</v>
      </c>
      <c r="Q43" t="s">
        <v>20</v>
      </c>
      <c r="R43" t="s">
        <v>21</v>
      </c>
      <c r="S43" t="s">
        <v>14</v>
      </c>
      <c r="T43">
        <v>80</v>
      </c>
      <c r="U43" t="s">
        <v>22</v>
      </c>
      <c r="V43" t="s">
        <v>46</v>
      </c>
      <c r="W43" t="s">
        <v>17</v>
      </c>
    </row>
    <row r="44" spans="1:23" x14ac:dyDescent="0.3">
      <c r="A44" s="1">
        <v>44155</v>
      </c>
      <c r="B44" s="1" t="s">
        <v>114</v>
      </c>
      <c r="C44" s="1" t="s">
        <v>152</v>
      </c>
      <c r="D44" s="1" t="s">
        <v>126</v>
      </c>
      <c r="E44" s="1" t="s">
        <v>68</v>
      </c>
      <c r="F44" t="s">
        <v>18</v>
      </c>
      <c r="G44">
        <v>21</v>
      </c>
      <c r="H44" t="s">
        <v>19</v>
      </c>
      <c r="I44" t="s">
        <v>62</v>
      </c>
      <c r="J44" t="s">
        <v>25</v>
      </c>
      <c r="K44" t="s">
        <v>47</v>
      </c>
      <c r="L44">
        <v>395</v>
      </c>
      <c r="M44">
        <v>483</v>
      </c>
      <c r="Q44" t="s">
        <v>12</v>
      </c>
      <c r="R44" t="s">
        <v>13</v>
      </c>
      <c r="S44" t="s">
        <v>14</v>
      </c>
      <c r="T44">
        <v>80</v>
      </c>
      <c r="U44" t="s">
        <v>26</v>
      </c>
      <c r="V44" t="s">
        <v>27</v>
      </c>
      <c r="W44" t="s">
        <v>23</v>
      </c>
    </row>
    <row r="45" spans="1:23" x14ac:dyDescent="0.3">
      <c r="A45" s="1">
        <v>44170</v>
      </c>
      <c r="B45" s="1" t="s">
        <v>115</v>
      </c>
      <c r="C45" s="1" t="s">
        <v>148</v>
      </c>
      <c r="D45" s="1" t="s">
        <v>127</v>
      </c>
      <c r="E45" s="1" t="s">
        <v>69</v>
      </c>
      <c r="F45" t="s">
        <v>28</v>
      </c>
      <c r="G45">
        <v>41</v>
      </c>
      <c r="H45" t="s">
        <v>29</v>
      </c>
      <c r="I45" t="s">
        <v>61</v>
      </c>
      <c r="J45" t="s">
        <v>65</v>
      </c>
      <c r="K45" t="s">
        <v>42</v>
      </c>
      <c r="L45">
        <v>360</v>
      </c>
      <c r="M45">
        <v>433</v>
      </c>
      <c r="Q45" t="s">
        <v>20</v>
      </c>
      <c r="R45" t="s">
        <v>21</v>
      </c>
      <c r="S45" t="s">
        <v>33</v>
      </c>
      <c r="T45">
        <v>30</v>
      </c>
      <c r="U45" t="s">
        <v>22</v>
      </c>
      <c r="V45" t="s">
        <v>27</v>
      </c>
      <c r="W45" t="s">
        <v>17</v>
      </c>
    </row>
    <row r="46" spans="1:23" x14ac:dyDescent="0.3">
      <c r="A46" s="1">
        <v>44185</v>
      </c>
      <c r="B46" s="1" t="s">
        <v>116</v>
      </c>
      <c r="C46" s="1" t="s">
        <v>149</v>
      </c>
      <c r="D46" s="1" t="s">
        <v>126</v>
      </c>
      <c r="E46" s="1" t="s">
        <v>70</v>
      </c>
      <c r="F46" t="s">
        <v>18</v>
      </c>
      <c r="G46">
        <v>21</v>
      </c>
      <c r="H46" t="s">
        <v>19</v>
      </c>
      <c r="I46" t="s">
        <v>62</v>
      </c>
      <c r="J46" t="s">
        <v>65</v>
      </c>
      <c r="K46" t="s">
        <v>42</v>
      </c>
      <c r="L46">
        <v>118</v>
      </c>
      <c r="M46">
        <v>192</v>
      </c>
      <c r="Q46" t="s">
        <v>12</v>
      </c>
      <c r="R46" t="s">
        <v>40</v>
      </c>
      <c r="S46" t="s">
        <v>14</v>
      </c>
      <c r="T46">
        <v>80</v>
      </c>
      <c r="U46" t="s">
        <v>45</v>
      </c>
      <c r="V46" t="s">
        <v>27</v>
      </c>
      <c r="W46" t="s">
        <v>23</v>
      </c>
    </row>
    <row r="47" spans="1:23" x14ac:dyDescent="0.3">
      <c r="A47" s="1">
        <v>44200</v>
      </c>
      <c r="B47" s="1" t="s">
        <v>117</v>
      </c>
      <c r="C47" s="1" t="s">
        <v>150</v>
      </c>
      <c r="D47" s="1" t="s">
        <v>126</v>
      </c>
      <c r="E47" s="1" t="s">
        <v>69</v>
      </c>
      <c r="F47" t="s">
        <v>18</v>
      </c>
      <c r="G47">
        <v>36</v>
      </c>
      <c r="H47" t="s">
        <v>29</v>
      </c>
      <c r="I47" t="s">
        <v>62</v>
      </c>
      <c r="J47" t="s">
        <v>25</v>
      </c>
      <c r="K47" t="s">
        <v>64</v>
      </c>
      <c r="L47">
        <v>204</v>
      </c>
      <c r="M47">
        <v>252</v>
      </c>
      <c r="Q47" t="s">
        <v>12</v>
      </c>
      <c r="R47" t="s">
        <v>21</v>
      </c>
      <c r="S47" t="s">
        <v>14</v>
      </c>
      <c r="T47">
        <v>80</v>
      </c>
      <c r="U47" t="s">
        <v>26</v>
      </c>
      <c r="V47" t="s">
        <v>38</v>
      </c>
      <c r="W47" t="s">
        <v>17</v>
      </c>
    </row>
    <row r="48" spans="1:23" x14ac:dyDescent="0.3">
      <c r="A48" s="1">
        <v>44215</v>
      </c>
      <c r="B48" s="1" t="s">
        <v>118</v>
      </c>
      <c r="C48" s="1" t="s">
        <v>149</v>
      </c>
      <c r="D48" s="1" t="s">
        <v>126</v>
      </c>
      <c r="E48" s="1" t="s">
        <v>70</v>
      </c>
      <c r="F48" t="s">
        <v>28</v>
      </c>
      <c r="G48">
        <v>41</v>
      </c>
      <c r="H48" t="s">
        <v>29</v>
      </c>
      <c r="I48" t="s">
        <v>61</v>
      </c>
      <c r="J48" t="s">
        <v>25</v>
      </c>
      <c r="K48" t="s">
        <v>42</v>
      </c>
      <c r="L48">
        <v>161</v>
      </c>
      <c r="M48">
        <v>242</v>
      </c>
      <c r="Q48" t="s">
        <v>20</v>
      </c>
      <c r="R48" t="s">
        <v>21</v>
      </c>
      <c r="S48" t="s">
        <v>14</v>
      </c>
      <c r="T48">
        <v>80</v>
      </c>
      <c r="U48" t="s">
        <v>22</v>
      </c>
      <c r="V48" t="s">
        <v>27</v>
      </c>
      <c r="W48" t="s">
        <v>23</v>
      </c>
    </row>
    <row r="49" spans="1:23" x14ac:dyDescent="0.3">
      <c r="A49" s="1">
        <v>44230</v>
      </c>
      <c r="B49" s="1" t="s">
        <v>119</v>
      </c>
      <c r="C49" s="1" t="s">
        <v>153</v>
      </c>
      <c r="D49" s="1" t="s">
        <v>127</v>
      </c>
      <c r="E49" s="1" t="s">
        <v>69</v>
      </c>
      <c r="F49" t="s">
        <v>18</v>
      </c>
      <c r="G49">
        <v>41</v>
      </c>
      <c r="H49" t="s">
        <v>29</v>
      </c>
      <c r="I49" t="s">
        <v>61</v>
      </c>
      <c r="J49" t="s">
        <v>65</v>
      </c>
      <c r="K49" t="s">
        <v>47</v>
      </c>
      <c r="L49">
        <v>302</v>
      </c>
      <c r="M49">
        <v>332</v>
      </c>
      <c r="Q49" t="s">
        <v>12</v>
      </c>
      <c r="R49" t="s">
        <v>21</v>
      </c>
      <c r="S49" t="s">
        <v>30</v>
      </c>
      <c r="T49">
        <v>55</v>
      </c>
      <c r="U49" t="s">
        <v>26</v>
      </c>
      <c r="V49" t="s">
        <v>38</v>
      </c>
      <c r="W49" t="s">
        <v>17</v>
      </c>
    </row>
    <row r="50" spans="1:23" x14ac:dyDescent="0.3">
      <c r="A50" s="1">
        <v>44275</v>
      </c>
      <c r="B50" s="1" t="s">
        <v>120</v>
      </c>
      <c r="C50" s="1" t="s">
        <v>152</v>
      </c>
      <c r="D50" s="1" t="s">
        <v>126</v>
      </c>
      <c r="E50" s="1" t="s">
        <v>68</v>
      </c>
      <c r="F50" t="s">
        <v>28</v>
      </c>
      <c r="G50">
        <v>41</v>
      </c>
      <c r="H50" t="s">
        <v>35</v>
      </c>
      <c r="I50" t="s">
        <v>61</v>
      </c>
      <c r="J50" t="s">
        <v>25</v>
      </c>
      <c r="K50" t="s">
        <v>64</v>
      </c>
      <c r="L50">
        <v>386</v>
      </c>
      <c r="M50">
        <v>417</v>
      </c>
      <c r="Q50" t="s">
        <v>12</v>
      </c>
      <c r="R50" t="s">
        <v>43</v>
      </c>
      <c r="S50" t="s">
        <v>14</v>
      </c>
      <c r="T50">
        <v>80</v>
      </c>
      <c r="U50" t="s">
        <v>26</v>
      </c>
      <c r="V50" t="s">
        <v>38</v>
      </c>
      <c r="W50" t="s">
        <v>17</v>
      </c>
    </row>
    <row r="51" spans="1:23" x14ac:dyDescent="0.3">
      <c r="A51" s="1">
        <v>44305</v>
      </c>
      <c r="B51" s="1" t="s">
        <v>121</v>
      </c>
      <c r="C51" s="1" t="s">
        <v>148</v>
      </c>
      <c r="D51" s="1" t="s">
        <v>127</v>
      </c>
      <c r="E51" s="1" t="s">
        <v>69</v>
      </c>
      <c r="F51" t="s">
        <v>28</v>
      </c>
      <c r="G51">
        <v>50</v>
      </c>
      <c r="H51" t="s">
        <v>24</v>
      </c>
      <c r="I51" t="s">
        <v>62</v>
      </c>
      <c r="J51" t="s">
        <v>63</v>
      </c>
      <c r="K51" t="s">
        <v>64</v>
      </c>
      <c r="L51">
        <v>465</v>
      </c>
      <c r="M51">
        <v>549</v>
      </c>
      <c r="Q51" t="s">
        <v>20</v>
      </c>
      <c r="R51" t="s">
        <v>21</v>
      </c>
      <c r="S51" t="s">
        <v>14</v>
      </c>
      <c r="T51">
        <v>80</v>
      </c>
      <c r="U51" t="s">
        <v>22</v>
      </c>
      <c r="V51" t="s">
        <v>27</v>
      </c>
      <c r="W51" t="s">
        <v>23</v>
      </c>
    </row>
    <row r="52" spans="1:23" x14ac:dyDescent="0.3">
      <c r="A52" s="1">
        <v>44350</v>
      </c>
      <c r="B52" s="1" t="s">
        <v>122</v>
      </c>
      <c r="C52" s="1" t="s">
        <v>157</v>
      </c>
      <c r="D52" s="1" t="s">
        <v>126</v>
      </c>
      <c r="E52" s="1" t="s">
        <v>70</v>
      </c>
      <c r="F52" t="s">
        <v>28</v>
      </c>
      <c r="G52">
        <v>26</v>
      </c>
      <c r="H52" t="s">
        <v>24</v>
      </c>
      <c r="I52" t="s">
        <v>62</v>
      </c>
      <c r="J52" t="s">
        <v>25</v>
      </c>
      <c r="K52" t="s">
        <v>31</v>
      </c>
      <c r="L52">
        <v>405</v>
      </c>
      <c r="M52">
        <v>496</v>
      </c>
      <c r="Q52" t="s">
        <v>12</v>
      </c>
      <c r="R52" t="s">
        <v>13</v>
      </c>
      <c r="S52" t="s">
        <v>14</v>
      </c>
      <c r="T52">
        <v>55</v>
      </c>
      <c r="U52" t="s">
        <v>26</v>
      </c>
      <c r="V52" t="s">
        <v>27</v>
      </c>
      <c r="W52" t="s">
        <v>17</v>
      </c>
    </row>
    <row r="53" spans="1:23" x14ac:dyDescent="0.3">
      <c r="A53" s="1">
        <v>44380</v>
      </c>
      <c r="B53" s="1" t="s">
        <v>123</v>
      </c>
      <c r="C53" s="1" t="s">
        <v>162</v>
      </c>
      <c r="D53" s="1" t="s">
        <v>126</v>
      </c>
      <c r="E53" s="1" t="s">
        <v>69</v>
      </c>
      <c r="F53" t="s">
        <v>28</v>
      </c>
      <c r="G53">
        <v>31</v>
      </c>
      <c r="H53" t="s">
        <v>24</v>
      </c>
      <c r="I53" t="s">
        <v>62</v>
      </c>
      <c r="J53" t="s">
        <v>36</v>
      </c>
      <c r="K53" t="s">
        <v>64</v>
      </c>
      <c r="L53">
        <v>142</v>
      </c>
      <c r="M53">
        <v>201</v>
      </c>
      <c r="Q53" t="s">
        <v>12</v>
      </c>
      <c r="R53" t="s">
        <v>13</v>
      </c>
      <c r="S53" t="s">
        <v>14</v>
      </c>
      <c r="T53">
        <v>80</v>
      </c>
      <c r="U53" t="s">
        <v>45</v>
      </c>
      <c r="V53" t="s">
        <v>34</v>
      </c>
      <c r="W53" t="s">
        <v>17</v>
      </c>
    </row>
    <row r="54" spans="1:23" x14ac:dyDescent="0.3">
      <c r="A54" s="1">
        <v>44440</v>
      </c>
      <c r="B54" s="1" t="s">
        <v>124</v>
      </c>
      <c r="C54" s="1" t="s">
        <v>159</v>
      </c>
      <c r="D54" s="1" t="s">
        <v>126</v>
      </c>
      <c r="E54" s="1" t="s">
        <v>70</v>
      </c>
      <c r="F54" t="s">
        <v>18</v>
      </c>
      <c r="G54">
        <v>41</v>
      </c>
      <c r="H54" t="s">
        <v>29</v>
      </c>
      <c r="I54" t="s">
        <v>61</v>
      </c>
      <c r="J54" t="s">
        <v>63</v>
      </c>
      <c r="K54" t="s">
        <v>42</v>
      </c>
      <c r="L54">
        <v>371</v>
      </c>
      <c r="M54">
        <v>455</v>
      </c>
      <c r="Q54" t="s">
        <v>32</v>
      </c>
      <c r="R54" t="s">
        <v>21</v>
      </c>
      <c r="S54" t="s">
        <v>14</v>
      </c>
      <c r="T54">
        <v>55</v>
      </c>
      <c r="U54" t="s">
        <v>15</v>
      </c>
      <c r="V54" t="s">
        <v>34</v>
      </c>
      <c r="W54" t="s">
        <v>17</v>
      </c>
    </row>
  </sheetData>
  <autoFilter ref="A1:L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Totics To cover</vt:lpstr>
      <vt:lpstr>Undwestading Pivot</vt:lpstr>
      <vt:lpstr>View Manipulation</vt:lpstr>
      <vt:lpstr>Grouping</vt:lpstr>
      <vt:lpstr>Merge Column</vt:lpstr>
      <vt:lpstr>Classic View</vt:lpstr>
      <vt:lpstr>Handle Error and Empty cell</vt:lpstr>
      <vt:lpstr>Filter</vt:lpstr>
      <vt:lpstr>Show expandCollpase Button</vt:lpstr>
      <vt:lpstr>DynamicRange Formula</vt:lpstr>
      <vt:lpstr>DynamicRangeUsingTable</vt:lpstr>
      <vt:lpstr>Calculation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2026-06-29T13:31:24Z</dcterms:modified>
</cp:coreProperties>
</file>