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F29" i="1" l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M12" i="1"/>
  <c r="L12" i="1"/>
  <c r="N12" i="1" s="1"/>
  <c r="I12" i="1"/>
  <c r="M11" i="1"/>
  <c r="N11" i="1" s="1"/>
  <c r="L11" i="1"/>
  <c r="M10" i="1"/>
  <c r="N10" i="1" s="1"/>
  <c r="L10" i="1"/>
  <c r="M9" i="1"/>
  <c r="N9" i="1" s="1"/>
  <c r="L9" i="1"/>
  <c r="M8" i="1"/>
  <c r="N8" i="1" s="1"/>
  <c r="L8" i="1"/>
  <c r="M7" i="1"/>
  <c r="N7" i="1" s="1"/>
  <c r="L7" i="1"/>
  <c r="S6" i="1"/>
  <c r="N6" i="1"/>
  <c r="M6" i="1"/>
  <c r="L6" i="1"/>
  <c r="S5" i="1"/>
  <c r="M5" i="1"/>
  <c r="L5" i="1"/>
  <c r="N5" i="1" s="1"/>
  <c r="I5" i="1"/>
  <c r="M4" i="1"/>
  <c r="N4" i="1" s="1"/>
  <c r="L4" i="1"/>
  <c r="M3" i="1"/>
  <c r="N3" i="1" s="1"/>
  <c r="L3" i="1"/>
  <c r="A3" i="1"/>
  <c r="A4" i="1" s="1"/>
  <c r="A5" i="1" s="1"/>
  <c r="A6" i="1" s="1"/>
  <c r="A7" i="1" s="1"/>
  <c r="A8" i="1" s="1"/>
  <c r="A9" i="1" s="1"/>
  <c r="A10" i="1" s="1"/>
  <c r="A11" i="1" s="1"/>
  <c r="A12" i="1" s="1"/>
  <c r="R2" i="1"/>
  <c r="C1" i="1"/>
  <c r="D1" i="1" s="1"/>
  <c r="E1" i="1" s="1"/>
  <c r="F1" i="1" s="1"/>
</calcChain>
</file>

<file path=xl/sharedStrings.xml><?xml version="1.0" encoding="utf-8"?>
<sst xmlns="http://schemas.openxmlformats.org/spreadsheetml/2006/main" count="50" uniqueCount="41">
  <si>
    <t>ColNo</t>
  </si>
  <si>
    <t>Product Name</t>
  </si>
  <si>
    <t>HS Code</t>
  </si>
  <si>
    <t>Seller Name</t>
  </si>
  <si>
    <t>Qty Sold</t>
  </si>
  <si>
    <t>Product ID</t>
  </si>
  <si>
    <t>IndexNumber</t>
  </si>
  <si>
    <t>RowNumb</t>
  </si>
  <si>
    <t>HardDisk</t>
  </si>
  <si>
    <t>AP0101</t>
  </si>
  <si>
    <t>Ram Traders</t>
  </si>
  <si>
    <t>Microphone</t>
  </si>
  <si>
    <t>AP0102</t>
  </si>
  <si>
    <t>Rajesh</t>
  </si>
  <si>
    <t>Mobile Stand</t>
  </si>
  <si>
    <t>AP0103</t>
  </si>
  <si>
    <t>Shivam</t>
  </si>
  <si>
    <t>Laptop Stand</t>
  </si>
  <si>
    <t>AP0104</t>
  </si>
  <si>
    <t>Sethi</t>
  </si>
  <si>
    <t>Mic Holder</t>
  </si>
  <si>
    <t>AP0105</t>
  </si>
  <si>
    <t>Rahul</t>
  </si>
  <si>
    <t>Printer</t>
  </si>
  <si>
    <t>AP0106</t>
  </si>
  <si>
    <t>Aman</t>
  </si>
  <si>
    <t>Scanner</t>
  </si>
  <si>
    <t>AP0107</t>
  </si>
  <si>
    <t>Sohan</t>
  </si>
  <si>
    <t>Monitor</t>
  </si>
  <si>
    <t>AP0108</t>
  </si>
  <si>
    <t>Chandu</t>
  </si>
  <si>
    <t>Mouse</t>
  </si>
  <si>
    <t>AP0109</t>
  </si>
  <si>
    <t>Rohan</t>
  </si>
  <si>
    <t>Value</t>
  </si>
  <si>
    <t>=INDEX(Array,RowNumber,ColumnNo)</t>
  </si>
  <si>
    <t>Keyboard</t>
  </si>
  <si>
    <t>AP0110</t>
  </si>
  <si>
    <t>Sonu</t>
  </si>
  <si>
    <t>=MATCH(lookupValue,lookup_Arra,0)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</si>
</sst>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/>
    <xf numFmtId="0" fontId="2" fillId="2" borderId="1" xfId="1" applyBorder="1" applyAlignment="1">
      <alignment horizontal="center" vertical="center"/>
    </xf>
    <xf numFmtId="0" fontId="0" fillId="0" borderId="0" xfId="0" quotePrefix="1" applyAlignment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Fill="1" applyBorder="1" applyAlignment="1">
      <alignment vertical="center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topLeftCell="A7" workbookViewId="0">
      <selection activeCell="C28" sqref="C28"/>
    </sheetView>
  </sheetViews>
  <sheetFormatPr defaultRowHeight="14.4" x14ac:dyDescent="0.3"/>
  <cols>
    <col min="1" max="1" width="3" style="1" bestFit="1" customWidth="1"/>
    <col min="2" max="2" width="9.5546875" style="1" bestFit="1" customWidth="1"/>
    <col min="3" max="3" width="12.6640625" style="1" bestFit="1" customWidth="1"/>
    <col min="4" max="4" width="7.77734375" style="1" bestFit="1" customWidth="1"/>
    <col min="5" max="5" width="11.21875" style="1" bestFit="1" customWidth="1"/>
    <col min="6" max="6" width="7.77734375" style="1" bestFit="1" customWidth="1"/>
    <col min="7" max="8" width="8.88671875" style="1"/>
    <col min="9" max="9" width="39.21875" style="1" bestFit="1" customWidth="1"/>
    <col min="10" max="10" width="8.88671875" style="1"/>
    <col min="11" max="11" width="9.88671875" style="1" bestFit="1" customWidth="1"/>
    <col min="12" max="13" width="12.6640625" style="1" bestFit="1" customWidth="1"/>
    <col min="14" max="17" width="8.88671875" style="1"/>
    <col min="18" max="18" width="7.109375" style="1" bestFit="1" customWidth="1"/>
    <col min="19" max="19" width="2" style="1" bestFit="1" customWidth="1"/>
    <col min="20" max="16384" width="8.88671875" style="1"/>
  </cols>
  <sheetData>
    <row r="1" spans="1:19" x14ac:dyDescent="0.3">
      <c r="B1" s="1">
        <v>1</v>
      </c>
      <c r="C1" s="1">
        <f>B1+1</f>
        <v>2</v>
      </c>
      <c r="D1" s="1">
        <f t="shared" ref="D1:F1" si="0">C1+1</f>
        <v>3</v>
      </c>
      <c r="E1" s="1">
        <f t="shared" si="0"/>
        <v>4</v>
      </c>
      <c r="F1" s="1">
        <f t="shared" si="0"/>
        <v>5</v>
      </c>
      <c r="M1" s="1" t="s">
        <v>0</v>
      </c>
    </row>
    <row r="2" spans="1:19" x14ac:dyDescent="0.3">
      <c r="A2" s="1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H2" s="3" t="s">
        <v>6</v>
      </c>
      <c r="I2" s="3" t="s">
        <v>40</v>
      </c>
      <c r="K2" s="4" t="s">
        <v>5</v>
      </c>
      <c r="L2" s="1" t="s">
        <v>7</v>
      </c>
      <c r="M2" s="1" t="s">
        <v>1</v>
      </c>
      <c r="R2" s="1" t="str">
        <f>INDEX(B2:E12,2,3)</f>
        <v>Ram Traders</v>
      </c>
    </row>
    <row r="3" spans="1:19" x14ac:dyDescent="0.3">
      <c r="A3" s="1">
        <f>A2+1</f>
        <v>2</v>
      </c>
      <c r="B3" s="5" t="s">
        <v>8</v>
      </c>
      <c r="C3" s="5" t="s">
        <v>9</v>
      </c>
      <c r="D3" s="5" t="s">
        <v>10</v>
      </c>
      <c r="E3" s="5">
        <v>23</v>
      </c>
      <c r="F3" s="5">
        <v>101</v>
      </c>
      <c r="K3" s="6">
        <v>101</v>
      </c>
      <c r="L3" s="1">
        <f t="shared" ref="L3:L12" si="1">MATCH(K3,$F$2:$F$12,0)</f>
        <v>2</v>
      </c>
      <c r="M3" s="1">
        <f t="shared" ref="M3:M12" si="2">MATCH($M$2,$B$2:$E$2,0)</f>
        <v>1</v>
      </c>
      <c r="N3" s="1" t="str">
        <f t="shared" ref="N3:N12" si="3">INDEX($B$2:$E$12,L3,M3)</f>
        <v>HardDisk</v>
      </c>
    </row>
    <row r="4" spans="1:19" x14ac:dyDescent="0.3">
      <c r="A4" s="1">
        <f t="shared" ref="A4:A12" si="4">A3+1</f>
        <v>3</v>
      </c>
      <c r="B4" s="5" t="s">
        <v>11</v>
      </c>
      <c r="C4" s="5" t="s">
        <v>12</v>
      </c>
      <c r="D4" s="5" t="s">
        <v>13</v>
      </c>
      <c r="E4" s="5">
        <v>20</v>
      </c>
      <c r="F4" s="5">
        <v>102</v>
      </c>
      <c r="I4" s="2" t="s">
        <v>2</v>
      </c>
      <c r="K4" s="6">
        <v>102</v>
      </c>
      <c r="L4" s="1">
        <f t="shared" si="1"/>
        <v>3</v>
      </c>
      <c r="M4" s="1">
        <f t="shared" si="2"/>
        <v>1</v>
      </c>
      <c r="N4" s="1" t="str">
        <f t="shared" si="3"/>
        <v>Microphone</v>
      </c>
    </row>
    <row r="5" spans="1:19" x14ac:dyDescent="0.3">
      <c r="A5" s="1">
        <f t="shared" si="4"/>
        <v>4</v>
      </c>
      <c r="B5" s="5" t="s">
        <v>14</v>
      </c>
      <c r="C5" s="5" t="s">
        <v>15</v>
      </c>
      <c r="D5" s="5" t="s">
        <v>16</v>
      </c>
      <c r="E5" s="5">
        <v>30</v>
      </c>
      <c r="F5" s="5">
        <v>103</v>
      </c>
      <c r="I5" s="1">
        <f>MATCH(I4,B2:E2,0)</f>
        <v>2</v>
      </c>
      <c r="K5" s="6">
        <v>103</v>
      </c>
      <c r="L5" s="1">
        <f t="shared" si="1"/>
        <v>4</v>
      </c>
      <c r="M5" s="1">
        <f t="shared" si="2"/>
        <v>1</v>
      </c>
      <c r="N5" s="1" t="str">
        <f t="shared" si="3"/>
        <v>Mobile Stand</v>
      </c>
      <c r="S5" s="1">
        <f>MATCH(M2,B2:E2,0)</f>
        <v>1</v>
      </c>
    </row>
    <row r="6" spans="1:19" x14ac:dyDescent="0.3">
      <c r="A6" s="1">
        <f t="shared" si="4"/>
        <v>5</v>
      </c>
      <c r="B6" s="5" t="s">
        <v>17</v>
      </c>
      <c r="C6" s="5" t="s">
        <v>18</v>
      </c>
      <c r="D6" s="5" t="s">
        <v>19</v>
      </c>
      <c r="E6" s="5">
        <v>40</v>
      </c>
      <c r="F6" s="5">
        <v>104</v>
      </c>
      <c r="H6" s="1">
        <v>104</v>
      </c>
      <c r="I6" s="1">
        <f>MATCH(H6,F2:F12,0)</f>
        <v>5</v>
      </c>
      <c r="K6" s="6">
        <v>104</v>
      </c>
      <c r="L6" s="1">
        <f t="shared" si="1"/>
        <v>5</v>
      </c>
      <c r="M6" s="1">
        <f t="shared" si="2"/>
        <v>1</v>
      </c>
      <c r="N6" s="1" t="str">
        <f t="shared" si="3"/>
        <v>Laptop Stand</v>
      </c>
      <c r="R6" s="1">
        <v>101</v>
      </c>
      <c r="S6" s="1">
        <f>MATCH(R6,F2:F12,0)</f>
        <v>2</v>
      </c>
    </row>
    <row r="7" spans="1:19" x14ac:dyDescent="0.3">
      <c r="A7" s="1">
        <f t="shared" si="4"/>
        <v>6</v>
      </c>
      <c r="B7" s="5" t="s">
        <v>20</v>
      </c>
      <c r="C7" s="5" t="s">
        <v>21</v>
      </c>
      <c r="D7" s="5" t="s">
        <v>22</v>
      </c>
      <c r="E7" s="5">
        <v>34</v>
      </c>
      <c r="F7" s="5">
        <v>105</v>
      </c>
      <c r="K7" s="6">
        <v>105</v>
      </c>
      <c r="L7" s="1">
        <f t="shared" si="1"/>
        <v>6</v>
      </c>
      <c r="M7" s="1">
        <f t="shared" si="2"/>
        <v>1</v>
      </c>
      <c r="N7" s="1" t="str">
        <f t="shared" si="3"/>
        <v>Mic Holder</v>
      </c>
    </row>
    <row r="8" spans="1:19" x14ac:dyDescent="0.3">
      <c r="A8" s="1">
        <f t="shared" si="4"/>
        <v>7</v>
      </c>
      <c r="B8" s="5" t="s">
        <v>23</v>
      </c>
      <c r="C8" s="5" t="s">
        <v>24</v>
      </c>
      <c r="D8" s="5" t="s">
        <v>25</v>
      </c>
      <c r="E8" s="5">
        <v>54</v>
      </c>
      <c r="F8" s="5">
        <v>106</v>
      </c>
      <c r="K8" s="6">
        <v>106</v>
      </c>
      <c r="L8" s="1">
        <f t="shared" si="1"/>
        <v>7</v>
      </c>
      <c r="M8" s="1">
        <f t="shared" si="2"/>
        <v>1</v>
      </c>
      <c r="N8" s="1" t="str">
        <f t="shared" si="3"/>
        <v>Printer</v>
      </c>
    </row>
    <row r="9" spans="1:19" x14ac:dyDescent="0.3">
      <c r="A9" s="1">
        <f t="shared" si="4"/>
        <v>8</v>
      </c>
      <c r="B9" s="5" t="s">
        <v>26</v>
      </c>
      <c r="C9" s="5" t="s">
        <v>27</v>
      </c>
      <c r="D9" s="5" t="s">
        <v>28</v>
      </c>
      <c r="E9" s="5">
        <v>30</v>
      </c>
      <c r="F9" s="5">
        <v>107</v>
      </c>
      <c r="K9" s="6">
        <v>107</v>
      </c>
      <c r="L9" s="1">
        <f t="shared" si="1"/>
        <v>8</v>
      </c>
      <c r="M9" s="1">
        <f t="shared" si="2"/>
        <v>1</v>
      </c>
      <c r="N9" s="1" t="str">
        <f t="shared" si="3"/>
        <v>Scanner</v>
      </c>
    </row>
    <row r="10" spans="1:19" x14ac:dyDescent="0.3">
      <c r="A10" s="1">
        <f t="shared" si="4"/>
        <v>9</v>
      </c>
      <c r="B10" s="5" t="s">
        <v>29</v>
      </c>
      <c r="C10" s="5" t="s">
        <v>30</v>
      </c>
      <c r="D10" s="5" t="s">
        <v>31</v>
      </c>
      <c r="E10" s="5">
        <v>10</v>
      </c>
      <c r="F10" s="5">
        <v>108</v>
      </c>
      <c r="K10" s="6">
        <v>108</v>
      </c>
      <c r="L10" s="1">
        <f t="shared" si="1"/>
        <v>9</v>
      </c>
      <c r="M10" s="1">
        <f t="shared" si="2"/>
        <v>1</v>
      </c>
      <c r="N10" s="1" t="str">
        <f t="shared" si="3"/>
        <v>Monitor</v>
      </c>
    </row>
    <row r="11" spans="1:19" x14ac:dyDescent="0.3">
      <c r="A11" s="1">
        <f t="shared" si="4"/>
        <v>10</v>
      </c>
      <c r="B11" s="5" t="s">
        <v>32</v>
      </c>
      <c r="C11" s="5" t="s">
        <v>33</v>
      </c>
      <c r="D11" s="5" t="s">
        <v>34</v>
      </c>
      <c r="E11" s="5">
        <v>20</v>
      </c>
      <c r="F11" s="5">
        <v>109</v>
      </c>
      <c r="H11" s="7" t="s">
        <v>35</v>
      </c>
      <c r="I11" s="3" t="s">
        <v>36</v>
      </c>
      <c r="K11" s="6">
        <v>109</v>
      </c>
      <c r="L11" s="1">
        <f t="shared" si="1"/>
        <v>10</v>
      </c>
      <c r="M11" s="1">
        <f t="shared" si="2"/>
        <v>1</v>
      </c>
      <c r="N11" s="1" t="str">
        <f t="shared" si="3"/>
        <v>Mouse</v>
      </c>
    </row>
    <row r="12" spans="1:19" x14ac:dyDescent="0.3">
      <c r="A12" s="1">
        <f t="shared" si="4"/>
        <v>11</v>
      </c>
      <c r="B12" s="5" t="s">
        <v>37</v>
      </c>
      <c r="C12" s="5" t="s">
        <v>38</v>
      </c>
      <c r="D12" s="5" t="s">
        <v>39</v>
      </c>
      <c r="E12" s="5">
        <v>25</v>
      </c>
      <c r="F12" s="5">
        <v>110</v>
      </c>
      <c r="H12" s="7" t="s">
        <v>35</v>
      </c>
      <c r="I12" s="1" t="str">
        <f>INDEX(B2:E12,MATCH(H6,F2:F12,0),MATCH(I4,B2:E2,0))</f>
        <v>AP0104</v>
      </c>
      <c r="K12" s="6">
        <v>110</v>
      </c>
      <c r="L12" s="1">
        <f t="shared" si="1"/>
        <v>11</v>
      </c>
      <c r="M12" s="1">
        <f t="shared" si="2"/>
        <v>1</v>
      </c>
      <c r="N12" s="1" t="str">
        <f t="shared" si="3"/>
        <v>Keyboard</v>
      </c>
    </row>
    <row r="19" spans="2:6" x14ac:dyDescent="0.3">
      <c r="B19" s="2" t="s">
        <v>5</v>
      </c>
      <c r="C19" s="2" t="s">
        <v>1</v>
      </c>
      <c r="D19" s="2" t="s">
        <v>2</v>
      </c>
      <c r="E19" s="2" t="s">
        <v>3</v>
      </c>
      <c r="F19" s="2" t="s">
        <v>4</v>
      </c>
    </row>
    <row r="20" spans="2:6" x14ac:dyDescent="0.3">
      <c r="B20" s="5">
        <v>101</v>
      </c>
      <c r="C20" s="1" t="str">
        <f t="shared" ref="C20:F29" si="5">INDEX($B$2:$E$12,MATCH($B20,$F$2:$F$12,0),MATCH(C$19,$B$2:$E$2,0))</f>
        <v>HardDisk</v>
      </c>
      <c r="D20" s="1" t="str">
        <f t="shared" si="5"/>
        <v>AP0101</v>
      </c>
      <c r="E20" s="1" t="str">
        <f t="shared" si="5"/>
        <v>Ram Traders</v>
      </c>
      <c r="F20" s="1">
        <f t="shared" si="5"/>
        <v>23</v>
      </c>
    </row>
    <row r="21" spans="2:6" x14ac:dyDescent="0.3">
      <c r="B21" s="5">
        <v>102</v>
      </c>
      <c r="C21" s="1" t="str">
        <f t="shared" si="5"/>
        <v>Microphone</v>
      </c>
      <c r="D21" s="1" t="str">
        <f t="shared" si="5"/>
        <v>AP0102</v>
      </c>
      <c r="E21" s="1" t="str">
        <f t="shared" si="5"/>
        <v>Rajesh</v>
      </c>
      <c r="F21" s="1">
        <f t="shared" si="5"/>
        <v>20</v>
      </c>
    </row>
    <row r="22" spans="2:6" x14ac:dyDescent="0.3">
      <c r="B22" s="5">
        <v>103</v>
      </c>
      <c r="C22" s="1" t="str">
        <f t="shared" si="5"/>
        <v>Mobile Stand</v>
      </c>
      <c r="D22" s="1" t="str">
        <f t="shared" si="5"/>
        <v>AP0103</v>
      </c>
      <c r="E22" s="1" t="str">
        <f t="shared" si="5"/>
        <v>Shivam</v>
      </c>
      <c r="F22" s="1">
        <f t="shared" si="5"/>
        <v>30</v>
      </c>
    </row>
    <row r="23" spans="2:6" x14ac:dyDescent="0.3">
      <c r="B23" s="5">
        <v>104</v>
      </c>
      <c r="C23" s="1" t="str">
        <f t="shared" si="5"/>
        <v>Laptop Stand</v>
      </c>
      <c r="D23" s="1" t="str">
        <f t="shared" si="5"/>
        <v>AP0104</v>
      </c>
      <c r="E23" s="1" t="str">
        <f t="shared" si="5"/>
        <v>Sethi</v>
      </c>
      <c r="F23" s="1">
        <f t="shared" si="5"/>
        <v>40</v>
      </c>
    </row>
    <row r="24" spans="2:6" x14ac:dyDescent="0.3">
      <c r="B24" s="5">
        <v>105</v>
      </c>
      <c r="C24" s="1" t="str">
        <f t="shared" si="5"/>
        <v>Mic Holder</v>
      </c>
      <c r="D24" s="1" t="str">
        <f t="shared" si="5"/>
        <v>AP0105</v>
      </c>
      <c r="E24" s="1" t="str">
        <f t="shared" si="5"/>
        <v>Rahul</v>
      </c>
      <c r="F24" s="1">
        <f t="shared" si="5"/>
        <v>34</v>
      </c>
    </row>
    <row r="25" spans="2:6" x14ac:dyDescent="0.3">
      <c r="B25" s="5">
        <v>106</v>
      </c>
      <c r="C25" s="1" t="str">
        <f t="shared" si="5"/>
        <v>Printer</v>
      </c>
      <c r="D25" s="1" t="str">
        <f t="shared" si="5"/>
        <v>AP0106</v>
      </c>
      <c r="E25" s="1" t="str">
        <f t="shared" si="5"/>
        <v>Aman</v>
      </c>
      <c r="F25" s="1">
        <f t="shared" si="5"/>
        <v>54</v>
      </c>
    </row>
    <row r="26" spans="2:6" x14ac:dyDescent="0.3">
      <c r="B26" s="5">
        <v>107</v>
      </c>
      <c r="C26" s="1" t="str">
        <f t="shared" si="5"/>
        <v>Scanner</v>
      </c>
      <c r="D26" s="1" t="str">
        <f t="shared" si="5"/>
        <v>AP0107</v>
      </c>
      <c r="E26" s="1" t="str">
        <f t="shared" si="5"/>
        <v>Sohan</v>
      </c>
      <c r="F26" s="1">
        <f t="shared" si="5"/>
        <v>30</v>
      </c>
    </row>
    <row r="27" spans="2:6" x14ac:dyDescent="0.3">
      <c r="B27" s="5">
        <v>108</v>
      </c>
      <c r="C27" s="1" t="str">
        <f t="shared" si="5"/>
        <v>Monitor</v>
      </c>
      <c r="D27" s="1" t="str">
        <f t="shared" si="5"/>
        <v>AP0108</v>
      </c>
      <c r="E27" s="1" t="str">
        <f t="shared" si="5"/>
        <v>Chandu</v>
      </c>
      <c r="F27" s="1">
        <f t="shared" si="5"/>
        <v>10</v>
      </c>
    </row>
    <row r="28" spans="2:6" x14ac:dyDescent="0.3">
      <c r="B28" s="5">
        <v>109</v>
      </c>
      <c r="C28" s="1" t="str">
        <f t="shared" si="5"/>
        <v>Mouse</v>
      </c>
      <c r="D28" s="1" t="str">
        <f t="shared" si="5"/>
        <v>AP0109</v>
      </c>
      <c r="E28" s="1" t="str">
        <f t="shared" si="5"/>
        <v>Rohan</v>
      </c>
      <c r="F28" s="1">
        <f t="shared" si="5"/>
        <v>20</v>
      </c>
    </row>
    <row r="29" spans="2:6" x14ac:dyDescent="0.3">
      <c r="B29" s="5">
        <v>110</v>
      </c>
      <c r="C29" s="1" t="str">
        <f t="shared" si="5"/>
        <v>Keyboard</v>
      </c>
      <c r="D29" s="1" t="str">
        <f t="shared" si="5"/>
        <v>AP0110</v>
      </c>
      <c r="E29" s="1" t="str">
        <f t="shared" si="5"/>
        <v>Sonu</v>
      </c>
      <c r="F29" s="1">
        <f t="shared" si="5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2026-07-07T14:42:36Z</dcterms:modified>
</cp:coreProperties>
</file>