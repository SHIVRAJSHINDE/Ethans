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7 18 20\Excel\4.Advanced Tools &amp; Automation\4.LogicalFunctions\"/>
    </mc:Choice>
  </mc:AlternateContent>
  <bookViews>
    <workbookView xWindow="0" yWindow="0" windowWidth="23040" windowHeight="9072" activeTab="1"/>
  </bookViews>
  <sheets>
    <sheet name="ComparisonOperator" sheetId="13" r:id="rId1"/>
    <sheet name="ConditionalFunctions" sheetId="19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7" i="19" l="1"/>
  <c r="V5" i="19" l="1"/>
  <c r="V4" i="19"/>
  <c r="U23" i="19" l="1"/>
  <c r="U22" i="19"/>
  <c r="U21" i="19"/>
  <c r="U20" i="19"/>
  <c r="U19" i="19"/>
  <c r="U18" i="19"/>
  <c r="U17" i="19"/>
  <c r="U16" i="19"/>
  <c r="U15" i="19"/>
  <c r="U14" i="19"/>
  <c r="U13" i="19"/>
  <c r="U12" i="19"/>
  <c r="U11" i="19"/>
  <c r="U10" i="19"/>
  <c r="U9" i="19"/>
  <c r="U8" i="19"/>
  <c r="U7" i="19"/>
  <c r="U6" i="19"/>
  <c r="U5" i="19"/>
  <c r="U4" i="19"/>
  <c r="O4" i="19"/>
  <c r="T23" i="19"/>
  <c r="T22" i="19"/>
  <c r="T21" i="19"/>
  <c r="T20" i="19"/>
  <c r="T19" i="19"/>
  <c r="T18" i="19"/>
  <c r="T17" i="19"/>
  <c r="T16" i="19"/>
  <c r="T15" i="19"/>
  <c r="T14" i="19"/>
  <c r="T13" i="19"/>
  <c r="T12" i="19"/>
  <c r="T11" i="19"/>
  <c r="T10" i="19"/>
  <c r="T9" i="19"/>
  <c r="T8" i="19"/>
  <c r="T7" i="19"/>
  <c r="T6" i="19"/>
  <c r="T5" i="19"/>
  <c r="T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S23" i="19"/>
  <c r="S22" i="19"/>
  <c r="S21" i="19"/>
  <c r="S20" i="19"/>
  <c r="S19" i="19"/>
  <c r="S18" i="19"/>
  <c r="S17" i="19"/>
  <c r="S16" i="19"/>
  <c r="S15" i="19"/>
  <c r="S14" i="19"/>
  <c r="S13" i="19"/>
  <c r="S12" i="19"/>
  <c r="S11" i="19"/>
  <c r="S10" i="19"/>
  <c r="S9" i="19"/>
  <c r="S8" i="19"/>
  <c r="S7" i="19"/>
  <c r="S6" i="19"/>
  <c r="S5" i="19"/>
  <c r="S4" i="19"/>
  <c r="R23" i="19" l="1"/>
  <c r="R22" i="19"/>
  <c r="R21" i="19"/>
  <c r="R20" i="19"/>
  <c r="R19" i="19"/>
  <c r="R17" i="19"/>
  <c r="R18" i="19"/>
  <c r="R12" i="19"/>
  <c r="R16" i="19"/>
  <c r="R15" i="19"/>
  <c r="R14" i="19"/>
  <c r="R13" i="19"/>
  <c r="R10" i="19"/>
  <c r="R11" i="19"/>
  <c r="R8" i="19"/>
  <c r="R9" i="19"/>
  <c r="R7" i="19"/>
  <c r="R6" i="19"/>
  <c r="R4" i="19"/>
  <c r="R5" i="19"/>
  <c r="Q4" i="19"/>
  <c r="Q6" i="19"/>
  <c r="Q7" i="19"/>
  <c r="Q9" i="19"/>
  <c r="Q8" i="19"/>
  <c r="Q11" i="19"/>
  <c r="Q10" i="19"/>
  <c r="Q13" i="19"/>
  <c r="Q14" i="19"/>
  <c r="Q15" i="19"/>
  <c r="Q16" i="19"/>
  <c r="Q12" i="19"/>
  <c r="Q18" i="19"/>
  <c r="Q17" i="19"/>
  <c r="Q19" i="19"/>
  <c r="Q20" i="19"/>
  <c r="Q21" i="19"/>
  <c r="Q22" i="19"/>
  <c r="Q23" i="19"/>
  <c r="Q5" i="19"/>
  <c r="N23" i="19"/>
  <c r="N22" i="19"/>
  <c r="N21" i="19"/>
  <c r="N20" i="19"/>
  <c r="N19" i="19"/>
  <c r="N17" i="19"/>
  <c r="N18" i="19"/>
  <c r="N12" i="19"/>
  <c r="N16" i="19"/>
  <c r="N15" i="19"/>
  <c r="N14" i="19"/>
  <c r="N13" i="19"/>
  <c r="N10" i="19"/>
  <c r="N11" i="19"/>
  <c r="N8" i="19"/>
  <c r="N9" i="19"/>
  <c r="N7" i="19"/>
  <c r="N6" i="19"/>
  <c r="N4" i="19"/>
  <c r="N5" i="19"/>
  <c r="M23" i="19"/>
  <c r="M22" i="19"/>
  <c r="M21" i="19"/>
  <c r="M20" i="19"/>
  <c r="M19" i="19"/>
  <c r="M17" i="19"/>
  <c r="M18" i="19"/>
  <c r="M12" i="19"/>
  <c r="M16" i="19"/>
  <c r="M15" i="19"/>
  <c r="M14" i="19"/>
  <c r="M13" i="19"/>
  <c r="M10" i="19"/>
  <c r="M11" i="19"/>
  <c r="M8" i="19"/>
  <c r="M9" i="19"/>
  <c r="M7" i="19"/>
  <c r="M6" i="19"/>
  <c r="M4" i="19"/>
  <c r="M5" i="19"/>
  <c r="L23" i="19"/>
  <c r="L22" i="19"/>
  <c r="L21" i="19"/>
  <c r="L20" i="19"/>
  <c r="L19" i="19"/>
  <c r="L17" i="19"/>
  <c r="L18" i="19"/>
  <c r="L12" i="19"/>
  <c r="L16" i="19"/>
  <c r="L15" i="19"/>
  <c r="L14" i="19"/>
  <c r="L13" i="19"/>
  <c r="L10" i="19"/>
  <c r="L11" i="19"/>
  <c r="L8" i="19"/>
  <c r="L9" i="19"/>
  <c r="L7" i="19"/>
  <c r="L6" i="19"/>
  <c r="L4" i="19"/>
  <c r="L5" i="19"/>
  <c r="K23" i="19"/>
  <c r="K22" i="19"/>
  <c r="K21" i="19"/>
  <c r="K20" i="19"/>
  <c r="K19" i="19"/>
  <c r="K17" i="19"/>
  <c r="K18" i="19"/>
  <c r="K12" i="19"/>
  <c r="K16" i="19"/>
  <c r="K15" i="19"/>
  <c r="K14" i="19"/>
  <c r="K13" i="19"/>
  <c r="K10" i="19"/>
  <c r="K11" i="19"/>
  <c r="K8" i="19"/>
  <c r="K9" i="19"/>
  <c r="K7" i="19"/>
  <c r="K6" i="19"/>
  <c r="K4" i="19"/>
  <c r="K5" i="19"/>
  <c r="G24" i="19" l="1"/>
  <c r="F24" i="19"/>
  <c r="P21" i="13" l="1"/>
  <c r="P20" i="13"/>
  <c r="P19" i="13"/>
  <c r="P18" i="13"/>
  <c r="P17" i="13"/>
  <c r="P16" i="13"/>
  <c r="P15" i="13"/>
  <c r="P14" i="13"/>
  <c r="P13" i="13"/>
  <c r="P12" i="13"/>
  <c r="P11" i="13"/>
  <c r="P10" i="13"/>
  <c r="P9" i="13"/>
  <c r="P8" i="13"/>
  <c r="P7" i="13"/>
  <c r="P6" i="13"/>
  <c r="P5" i="13"/>
  <c r="P4" i="13"/>
  <c r="P3" i="13"/>
  <c r="M21" i="13"/>
  <c r="M20" i="13"/>
  <c r="M19" i="13"/>
  <c r="M18" i="13"/>
  <c r="M17" i="13"/>
  <c r="M16" i="13"/>
  <c r="M15" i="13"/>
  <c r="M14" i="13"/>
  <c r="M13" i="13"/>
  <c r="M12" i="13"/>
  <c r="M11" i="13"/>
  <c r="M10" i="13"/>
  <c r="M9" i="13"/>
  <c r="M8" i="13"/>
  <c r="M7" i="13"/>
  <c r="M6" i="13"/>
  <c r="M5" i="13"/>
  <c r="M4" i="13"/>
  <c r="M3" i="13"/>
  <c r="M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4" i="13"/>
  <c r="L2" i="13"/>
  <c r="L3" i="13"/>
  <c r="K2" i="13"/>
  <c r="K21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6" i="13"/>
  <c r="K5" i="13"/>
  <c r="K4" i="13"/>
  <c r="K3" i="13"/>
  <c r="P2" i="13"/>
  <c r="O21" i="13"/>
  <c r="O20" i="13"/>
  <c r="O19" i="13"/>
  <c r="O18" i="13"/>
  <c r="O17" i="13"/>
  <c r="O16" i="13"/>
  <c r="O15" i="13"/>
  <c r="O14" i="13"/>
  <c r="O13" i="13"/>
  <c r="O12" i="13"/>
  <c r="O11" i="13"/>
  <c r="O10" i="13"/>
  <c r="O9" i="13"/>
  <c r="O8" i="13"/>
  <c r="O7" i="13"/>
  <c r="O6" i="13"/>
  <c r="O5" i="13"/>
  <c r="O4" i="13"/>
  <c r="O3" i="13"/>
  <c r="O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8" i="13"/>
  <c r="N7" i="13"/>
  <c r="N6" i="13"/>
  <c r="N5" i="13"/>
  <c r="N4" i="13"/>
  <c r="N3" i="13"/>
  <c r="N2" i="13"/>
  <c r="F22" i="13"/>
  <c r="E22" i="13"/>
</calcChain>
</file>

<file path=xl/sharedStrings.xml><?xml version="1.0" encoding="utf-8"?>
<sst xmlns="http://schemas.openxmlformats.org/spreadsheetml/2006/main" count="273" uniqueCount="106">
  <si>
    <t>EmpID</t>
  </si>
  <si>
    <t>Name</t>
  </si>
  <si>
    <t>Dept</t>
  </si>
  <si>
    <t>Region</t>
  </si>
  <si>
    <t>Salary</t>
  </si>
  <si>
    <t>Bonus</t>
  </si>
  <si>
    <t>Rating</t>
  </si>
  <si>
    <t>JoinDate</t>
  </si>
  <si>
    <t>Email</t>
  </si>
  <si>
    <t>E001</t>
  </si>
  <si>
    <t>John Smith</t>
  </si>
  <si>
    <t>Sales</t>
  </si>
  <si>
    <t>East</t>
  </si>
  <si>
    <t>john.smith@email.com</t>
  </si>
  <si>
    <t>E002</t>
  </si>
  <si>
    <t>Sara Khan</t>
  </si>
  <si>
    <t>HR</t>
  </si>
  <si>
    <t>West</t>
  </si>
  <si>
    <t>sara.khan@email.com</t>
  </si>
  <si>
    <t>E003</t>
  </si>
  <si>
    <t>Mike Johnson</t>
  </si>
  <si>
    <t>IT</t>
  </si>
  <si>
    <t>North</t>
  </si>
  <si>
    <t>mike.j@email.com</t>
  </si>
  <si>
    <t>E004</t>
  </si>
  <si>
    <t>Emily Davis</t>
  </si>
  <si>
    <t>South</t>
  </si>
  <si>
    <t>emily.d@email.com</t>
  </si>
  <si>
    <t>E005</t>
  </si>
  <si>
    <t>Raj Patel</t>
  </si>
  <si>
    <t>raj.patel@email.com</t>
  </si>
  <si>
    <t>E006</t>
  </si>
  <si>
    <t>Anna Lee</t>
  </si>
  <si>
    <t>anna.lee@email.com</t>
  </si>
  <si>
    <t>E007</t>
  </si>
  <si>
    <t>Chris Brown</t>
  </si>
  <si>
    <t>chris.b@email.com</t>
  </si>
  <si>
    <t>E008</t>
  </si>
  <si>
    <t>David Wilson</t>
  </si>
  <si>
    <t>david.w@email.com</t>
  </si>
  <si>
    <t>E009</t>
  </si>
  <si>
    <t>Lisa Taylor</t>
  </si>
  <si>
    <t>lisa.t@email.com</t>
  </si>
  <si>
    <t>E010</t>
  </si>
  <si>
    <t>Tom Anderson</t>
  </si>
  <si>
    <t>tom.a@email.com</t>
  </si>
  <si>
    <t>E011</t>
  </si>
  <si>
    <t>Nina Gupta</t>
  </si>
  <si>
    <t>nina.g@email.com</t>
  </si>
  <si>
    <t>E012</t>
  </si>
  <si>
    <t>Alex Martinez</t>
  </si>
  <si>
    <t>alex.m@email.com</t>
  </si>
  <si>
    <t>E013</t>
  </si>
  <si>
    <t>Kevin White</t>
  </si>
  <si>
    <t>kevin.w@email.com</t>
  </si>
  <si>
    <t>E014</t>
  </si>
  <si>
    <t>Priya Sharma</t>
  </si>
  <si>
    <t>priya.s@email.com</t>
  </si>
  <si>
    <t>E015</t>
  </si>
  <si>
    <t>Daniel Clark</t>
  </si>
  <si>
    <t>daniel.c@email.com</t>
  </si>
  <si>
    <t>E016</t>
  </si>
  <si>
    <t>Sophia Lewis</t>
  </si>
  <si>
    <t>sophia.l@email.com</t>
  </si>
  <si>
    <t>E017</t>
  </si>
  <si>
    <t>James Walker</t>
  </si>
  <si>
    <t>james.w@email.com</t>
  </si>
  <si>
    <t>E018</t>
  </si>
  <si>
    <t>Olivia Hall</t>
  </si>
  <si>
    <t>olivia.h@email.com</t>
  </si>
  <si>
    <t>E019</t>
  </si>
  <si>
    <t>Ethan Allen</t>
  </si>
  <si>
    <t>ethan.a@email.com</t>
  </si>
  <si>
    <t>E020</t>
  </si>
  <si>
    <t>Chloe Young</t>
  </si>
  <si>
    <t>chloe.y@email.com</t>
  </si>
  <si>
    <t>IF</t>
  </si>
  <si>
    <t>AND</t>
  </si>
  <si>
    <t>OR</t>
  </si>
  <si>
    <t>NOT</t>
  </si>
  <si>
    <t>IF Basic</t>
  </si>
  <si>
    <t>Nested IF</t>
  </si>
  <si>
    <t>less than</t>
  </si>
  <si>
    <t>Greater Than</t>
  </si>
  <si>
    <t>Equal to</t>
  </si>
  <si>
    <t>Daniel Clarkk</t>
  </si>
  <si>
    <t>Olivia Hal</t>
  </si>
  <si>
    <t>Chris Brow</t>
  </si>
  <si>
    <t xml:space="preserve">Sophia Lewis </t>
  </si>
  <si>
    <t>Not Equal TO</t>
  </si>
  <si>
    <t>if condition</t>
  </si>
  <si>
    <t>Name1</t>
  </si>
  <si>
    <t>Name2</t>
  </si>
  <si>
    <t>=IF(LogicalTest,"Value_If_True","Value_If_False")</t>
  </si>
  <si>
    <t>high Sal</t>
  </si>
  <si>
    <t>less than 50000</t>
  </si>
  <si>
    <t>less</t>
  </si>
  <si>
    <t>less than 60000</t>
  </si>
  <si>
    <t>avg</t>
  </si>
  <si>
    <t>less 480000</t>
  </si>
  <si>
    <t>min</t>
  </si>
  <si>
    <t>less than 65000</t>
  </si>
  <si>
    <t>more than 65000</t>
  </si>
  <si>
    <t>max</t>
  </si>
  <si>
    <t>=IF(AND(LogTest01,LogTest02),ValueIfTrue,ValueIfFalse)</t>
  </si>
  <si>
    <t>=IF(OR(LogTest01,LogTest02),ValueIfTrue,ValueIfFalse)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</si>
</sst>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2" fillId="0" borderId="0" xfId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2" fillId="0" borderId="1" xfId="1" applyBorder="1" applyAlignment="1">
      <alignment vertical="center"/>
    </xf>
    <xf numFmtId="164" fontId="0" fillId="0" borderId="0" xfId="2" applyNumberFormat="1" applyFont="1" applyAlignment="1"/>
    <xf numFmtId="0" fontId="4" fillId="0" borderId="0" xfId="0" applyFont="1" applyFill="1" applyBorder="1" applyAlignment="1"/>
    <xf numFmtId="0" fontId="4" fillId="0" borderId="1" xfId="0" applyFont="1" applyFill="1" applyBorder="1" applyAlignment="1">
      <alignment vertical="center"/>
    </xf>
    <xf numFmtId="164" fontId="4" fillId="0" borderId="1" xfId="2" applyNumberFormat="1" applyFont="1" applyFill="1" applyBorder="1" applyAlignment="1">
      <alignment vertical="center"/>
    </xf>
    <xf numFmtId="14" fontId="4" fillId="0" borderId="1" xfId="0" applyNumberFormat="1" applyFont="1" applyFill="1" applyBorder="1" applyAlignment="1">
      <alignment vertical="center"/>
    </xf>
    <xf numFmtId="0" fontId="5" fillId="0" borderId="1" xfId="1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164" fontId="0" fillId="0" borderId="0" xfId="2" applyNumberFormat="1" applyFont="1" applyAlignment="1">
      <alignment horizontal="left" vertical="top" wrapText="1"/>
    </xf>
    <xf numFmtId="0" fontId="0" fillId="0" borderId="0" xfId="0" quotePrefix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/>
  </cellXfs>
  <cellStyles count="3">
    <cellStyle name="Comma" xfId="2" builtinId="3"/>
    <cellStyle name="Hyperlink" xfId="1" builtinId="8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avid.w@email.com" TargetMode="External"/><Relationship Id="rId13" Type="http://schemas.openxmlformats.org/officeDocument/2006/relationships/hyperlink" Target="mailto:kevin.w@email.com" TargetMode="External"/><Relationship Id="rId18" Type="http://schemas.openxmlformats.org/officeDocument/2006/relationships/hyperlink" Target="mailto:olivia.h@email.com" TargetMode="External"/><Relationship Id="rId3" Type="http://schemas.openxmlformats.org/officeDocument/2006/relationships/hyperlink" Target="mailto:mike.j@email.com" TargetMode="External"/><Relationship Id="rId7" Type="http://schemas.openxmlformats.org/officeDocument/2006/relationships/hyperlink" Target="mailto:chris.b@email.com" TargetMode="External"/><Relationship Id="rId12" Type="http://schemas.openxmlformats.org/officeDocument/2006/relationships/hyperlink" Target="mailto:alex.m@email.com" TargetMode="External"/><Relationship Id="rId17" Type="http://schemas.openxmlformats.org/officeDocument/2006/relationships/hyperlink" Target="mailto:james.w@email.com" TargetMode="External"/><Relationship Id="rId2" Type="http://schemas.openxmlformats.org/officeDocument/2006/relationships/hyperlink" Target="mailto:sara.khan@email.com" TargetMode="External"/><Relationship Id="rId16" Type="http://schemas.openxmlformats.org/officeDocument/2006/relationships/hyperlink" Target="mailto:sophia.l@email.com" TargetMode="External"/><Relationship Id="rId20" Type="http://schemas.openxmlformats.org/officeDocument/2006/relationships/hyperlink" Target="mailto:chloe.y@email.com" TargetMode="External"/><Relationship Id="rId1" Type="http://schemas.openxmlformats.org/officeDocument/2006/relationships/hyperlink" Target="mailto:john.smith@email.com" TargetMode="External"/><Relationship Id="rId6" Type="http://schemas.openxmlformats.org/officeDocument/2006/relationships/hyperlink" Target="mailto:anna.lee@email.com" TargetMode="External"/><Relationship Id="rId11" Type="http://schemas.openxmlformats.org/officeDocument/2006/relationships/hyperlink" Target="mailto:nina.g@email.com" TargetMode="External"/><Relationship Id="rId5" Type="http://schemas.openxmlformats.org/officeDocument/2006/relationships/hyperlink" Target="mailto:raj.patel@email.com" TargetMode="External"/><Relationship Id="rId15" Type="http://schemas.openxmlformats.org/officeDocument/2006/relationships/hyperlink" Target="mailto:daniel.c@email.com" TargetMode="External"/><Relationship Id="rId10" Type="http://schemas.openxmlformats.org/officeDocument/2006/relationships/hyperlink" Target="mailto:tom.a@email.com" TargetMode="External"/><Relationship Id="rId19" Type="http://schemas.openxmlformats.org/officeDocument/2006/relationships/hyperlink" Target="mailto:ethan.a@email.com" TargetMode="External"/><Relationship Id="rId4" Type="http://schemas.openxmlformats.org/officeDocument/2006/relationships/hyperlink" Target="mailto:emily.d@email.com" TargetMode="External"/><Relationship Id="rId9" Type="http://schemas.openxmlformats.org/officeDocument/2006/relationships/hyperlink" Target="mailto:lisa.t@email.com" TargetMode="External"/><Relationship Id="rId14" Type="http://schemas.openxmlformats.org/officeDocument/2006/relationships/hyperlink" Target="mailto:priya.s@e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david.w@email.com" TargetMode="External"/><Relationship Id="rId13" Type="http://schemas.openxmlformats.org/officeDocument/2006/relationships/hyperlink" Target="mailto:kevin.w@email.com" TargetMode="External"/><Relationship Id="rId18" Type="http://schemas.openxmlformats.org/officeDocument/2006/relationships/hyperlink" Target="mailto:olivia.h@email.com" TargetMode="External"/><Relationship Id="rId3" Type="http://schemas.openxmlformats.org/officeDocument/2006/relationships/hyperlink" Target="mailto:mike.j@email.co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chris.b@email.com" TargetMode="External"/><Relationship Id="rId12" Type="http://schemas.openxmlformats.org/officeDocument/2006/relationships/hyperlink" Target="mailto:alex.m@email.com" TargetMode="External"/><Relationship Id="rId17" Type="http://schemas.openxmlformats.org/officeDocument/2006/relationships/hyperlink" Target="mailto:james.w@email.com" TargetMode="External"/><Relationship Id="rId2" Type="http://schemas.openxmlformats.org/officeDocument/2006/relationships/hyperlink" Target="mailto:sara.khan@email.com" TargetMode="External"/><Relationship Id="rId16" Type="http://schemas.openxmlformats.org/officeDocument/2006/relationships/hyperlink" Target="mailto:sophia.l@email.com" TargetMode="External"/><Relationship Id="rId20" Type="http://schemas.openxmlformats.org/officeDocument/2006/relationships/hyperlink" Target="mailto:chloe.y@email.com" TargetMode="External"/><Relationship Id="rId1" Type="http://schemas.openxmlformats.org/officeDocument/2006/relationships/hyperlink" Target="mailto:john.smith@email.com" TargetMode="External"/><Relationship Id="rId6" Type="http://schemas.openxmlformats.org/officeDocument/2006/relationships/hyperlink" Target="mailto:anna.lee@email.com" TargetMode="External"/><Relationship Id="rId11" Type="http://schemas.openxmlformats.org/officeDocument/2006/relationships/hyperlink" Target="mailto:nina.g@email.com" TargetMode="External"/><Relationship Id="rId5" Type="http://schemas.openxmlformats.org/officeDocument/2006/relationships/hyperlink" Target="mailto:raj.patel@email.com" TargetMode="External"/><Relationship Id="rId15" Type="http://schemas.openxmlformats.org/officeDocument/2006/relationships/hyperlink" Target="mailto:daniel.c@email.com" TargetMode="External"/><Relationship Id="rId10" Type="http://schemas.openxmlformats.org/officeDocument/2006/relationships/hyperlink" Target="mailto:tom.a@email.com" TargetMode="External"/><Relationship Id="rId19" Type="http://schemas.openxmlformats.org/officeDocument/2006/relationships/hyperlink" Target="mailto:ethan.a@email.com" TargetMode="External"/><Relationship Id="rId4" Type="http://schemas.openxmlformats.org/officeDocument/2006/relationships/hyperlink" Target="mailto:emily.d@email.com" TargetMode="External"/><Relationship Id="rId9" Type="http://schemas.openxmlformats.org/officeDocument/2006/relationships/hyperlink" Target="mailto:lisa.t@email.com" TargetMode="External"/><Relationship Id="rId14" Type="http://schemas.openxmlformats.org/officeDocument/2006/relationships/hyperlink" Target="mailto:priya.s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>
      <selection activeCell="J12" sqref="J12"/>
    </sheetView>
  </sheetViews>
  <sheetFormatPr defaultRowHeight="14.4" x14ac:dyDescent="0.3"/>
  <cols>
    <col min="1" max="1" width="6.5546875" style="2" bestFit="1" customWidth="1"/>
    <col min="2" max="2" width="12.77734375" style="2" bestFit="1" customWidth="1"/>
    <col min="3" max="3" width="5.109375" style="2" bestFit="1" customWidth="1"/>
    <col min="4" max="4" width="6.77734375" style="2" bestFit="1" customWidth="1"/>
    <col min="5" max="5" width="8" style="2" bestFit="1" customWidth="1"/>
    <col min="6" max="6" width="6.21875" style="2" bestFit="1" customWidth="1"/>
    <col min="7" max="7" width="6.33203125" style="2" bestFit="1" customWidth="1"/>
    <col min="8" max="8" width="10.33203125" style="2" bestFit="1" customWidth="1"/>
    <col min="9" max="9" width="20.109375" style="2" bestFit="1" customWidth="1"/>
    <col min="10" max="10" width="20.109375" style="2" customWidth="1"/>
    <col min="11" max="13" width="10.88671875" style="2" bestFit="1" customWidth="1"/>
    <col min="14" max="16384" width="8.88671875" style="2"/>
  </cols>
  <sheetData>
    <row r="1" spans="1:1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/>
      <c r="K1" s="1" t="s">
        <v>80</v>
      </c>
      <c r="L1" s="1" t="s">
        <v>76</v>
      </c>
      <c r="M1" s="1" t="s">
        <v>81</v>
      </c>
      <c r="N1" s="1" t="s">
        <v>77</v>
      </c>
      <c r="O1" s="1" t="s">
        <v>78</v>
      </c>
      <c r="P1" s="1" t="s">
        <v>79</v>
      </c>
    </row>
    <row r="2" spans="1:16" x14ac:dyDescent="0.3">
      <c r="A2" s="5" t="s">
        <v>40</v>
      </c>
      <c r="B2" s="5" t="s">
        <v>41</v>
      </c>
      <c r="C2" s="5" t="s">
        <v>16</v>
      </c>
      <c r="D2" s="5" t="s">
        <v>12</v>
      </c>
      <c r="E2" s="5">
        <v>46000</v>
      </c>
      <c r="F2" s="5">
        <v>2000</v>
      </c>
      <c r="G2" s="5">
        <v>2</v>
      </c>
      <c r="H2" s="6">
        <v>44668</v>
      </c>
      <c r="I2" s="7" t="s">
        <v>42</v>
      </c>
      <c r="J2" s="3"/>
      <c r="K2" s="2" t="b">
        <f>G2&gt;2</f>
        <v>0</v>
      </c>
      <c r="L2" s="2" t="str">
        <f t="shared" ref="L2" si="0">IF(F2&lt;4000,"Low","Good")</f>
        <v>Low</v>
      </c>
      <c r="M2" s="2" t="str">
        <f>IF(F2&lt;4000,"Low",IF(F2&lt;6000,"Avg","Good"))</f>
        <v>Low</v>
      </c>
      <c r="N2" s="2" t="str">
        <f>IF(AND(C2="HR",D2="West"),"Yes","No")</f>
        <v>No</v>
      </c>
      <c r="O2" s="2" t="str">
        <f>IF(OR(C2="IT",D2="South"),"Yes","No")</f>
        <v>No</v>
      </c>
      <c r="P2" s="2" t="b">
        <f>NOT(F2&lt;5000)</f>
        <v>0</v>
      </c>
    </row>
    <row r="3" spans="1:16" x14ac:dyDescent="0.3">
      <c r="A3" s="5" t="s">
        <v>58</v>
      </c>
      <c r="B3" s="5" t="s">
        <v>59</v>
      </c>
      <c r="C3" s="5" t="s">
        <v>16</v>
      </c>
      <c r="D3" s="5" t="s">
        <v>17</v>
      </c>
      <c r="E3" s="5">
        <v>45000</v>
      </c>
      <c r="F3" s="5">
        <v>2200</v>
      </c>
      <c r="G3" s="5">
        <v>2</v>
      </c>
      <c r="H3" s="6">
        <v>44448</v>
      </c>
      <c r="I3" s="7" t="s">
        <v>60</v>
      </c>
      <c r="J3" s="3"/>
      <c r="K3" s="2" t="b">
        <f t="shared" ref="K3:K21" si="1">G3&gt;2</f>
        <v>0</v>
      </c>
      <c r="L3" s="2" t="str">
        <f>IF(F3&lt;4000,"Low","Good")</f>
        <v>Low</v>
      </c>
      <c r="M3" s="2" t="str">
        <f t="shared" ref="M3:M21" si="2">IF(F3&lt;4000,"Low",IF(F3&lt;6000,"Avg","Good"))</f>
        <v>Low</v>
      </c>
      <c r="N3" s="2" t="str">
        <f t="shared" ref="N3:N21" si="3">IF(AND(C3="HR",D3="West"),"Yes","No")</f>
        <v>Yes</v>
      </c>
      <c r="O3" s="2" t="str">
        <f t="shared" ref="O3:O21" si="4">IF(OR(C3="IT",D3="South"),"Yes","No")</f>
        <v>No</v>
      </c>
      <c r="P3" s="2" t="b">
        <f t="shared" ref="P3:P21" si="5">NOT(F3&lt;5000)</f>
        <v>0</v>
      </c>
    </row>
    <row r="4" spans="1:16" x14ac:dyDescent="0.3">
      <c r="A4" s="5" t="s">
        <v>31</v>
      </c>
      <c r="B4" s="5" t="s">
        <v>32</v>
      </c>
      <c r="C4" s="5" t="s">
        <v>16</v>
      </c>
      <c r="D4" s="5" t="s">
        <v>22</v>
      </c>
      <c r="E4" s="5">
        <v>47000</v>
      </c>
      <c r="F4" s="5">
        <v>2500</v>
      </c>
      <c r="G4" s="5">
        <v>3</v>
      </c>
      <c r="H4" s="6">
        <v>44359</v>
      </c>
      <c r="I4" s="7" t="s">
        <v>33</v>
      </c>
      <c r="J4" s="3"/>
      <c r="K4" s="2" t="b">
        <f t="shared" si="1"/>
        <v>1</v>
      </c>
      <c r="L4" s="2" t="str">
        <f t="shared" ref="L4:L21" si="6">IF(F4&lt;4000,"Low","Good")</f>
        <v>Low</v>
      </c>
      <c r="M4" s="2" t="str">
        <f t="shared" si="2"/>
        <v>Low</v>
      </c>
      <c r="N4" s="2" t="str">
        <f t="shared" si="3"/>
        <v>No</v>
      </c>
      <c r="O4" s="2" t="str">
        <f t="shared" si="4"/>
        <v>No</v>
      </c>
      <c r="P4" s="2" t="b">
        <f t="shared" si="5"/>
        <v>0</v>
      </c>
    </row>
    <row r="5" spans="1:16" x14ac:dyDescent="0.3">
      <c r="A5" s="5" t="s">
        <v>67</v>
      </c>
      <c r="B5" s="5" t="s">
        <v>68</v>
      </c>
      <c r="C5" s="5" t="s">
        <v>16</v>
      </c>
      <c r="D5" s="5" t="s">
        <v>22</v>
      </c>
      <c r="E5" s="5">
        <v>47000</v>
      </c>
      <c r="F5" s="5">
        <v>2600</v>
      </c>
      <c r="G5" s="5">
        <v>3</v>
      </c>
      <c r="H5" s="6">
        <v>44620</v>
      </c>
      <c r="I5" s="7" t="s">
        <v>69</v>
      </c>
      <c r="J5" s="3"/>
      <c r="K5" s="2" t="b">
        <f t="shared" si="1"/>
        <v>1</v>
      </c>
      <c r="L5" s="2" t="str">
        <f t="shared" si="6"/>
        <v>Low</v>
      </c>
      <c r="M5" s="2" t="str">
        <f t="shared" si="2"/>
        <v>Low</v>
      </c>
      <c r="N5" s="2" t="str">
        <f t="shared" si="3"/>
        <v>No</v>
      </c>
      <c r="O5" s="2" t="str">
        <f t="shared" si="4"/>
        <v>No</v>
      </c>
      <c r="P5" s="2" t="b">
        <f t="shared" si="5"/>
        <v>0</v>
      </c>
    </row>
    <row r="6" spans="1:16" x14ac:dyDescent="0.3">
      <c r="A6" s="5" t="s">
        <v>49</v>
      </c>
      <c r="B6" s="5" t="s">
        <v>50</v>
      </c>
      <c r="C6" s="5" t="s">
        <v>16</v>
      </c>
      <c r="D6" s="5" t="s">
        <v>26</v>
      </c>
      <c r="E6" s="5">
        <v>49000</v>
      </c>
      <c r="F6" s="5">
        <v>2800</v>
      </c>
      <c r="G6" s="5">
        <v>3</v>
      </c>
      <c r="H6" s="6">
        <v>44115</v>
      </c>
      <c r="I6" s="7" t="s">
        <v>51</v>
      </c>
      <c r="J6" s="3"/>
      <c r="K6" s="2" t="b">
        <f t="shared" si="1"/>
        <v>1</v>
      </c>
      <c r="L6" s="2" t="str">
        <f t="shared" si="6"/>
        <v>Low</v>
      </c>
      <c r="M6" s="2" t="str">
        <f t="shared" si="2"/>
        <v>Low</v>
      </c>
      <c r="N6" s="2" t="str">
        <f t="shared" si="3"/>
        <v>No</v>
      </c>
      <c r="O6" s="2" t="str">
        <f t="shared" si="4"/>
        <v>Yes</v>
      </c>
      <c r="P6" s="2" t="b">
        <f t="shared" si="5"/>
        <v>0</v>
      </c>
    </row>
    <row r="7" spans="1:16" x14ac:dyDescent="0.3">
      <c r="A7" s="5" t="s">
        <v>14</v>
      </c>
      <c r="B7" s="5" t="s">
        <v>15</v>
      </c>
      <c r="C7" s="5" t="s">
        <v>16</v>
      </c>
      <c r="D7" s="5" t="s">
        <v>17</v>
      </c>
      <c r="E7" s="5">
        <v>48000</v>
      </c>
      <c r="F7" s="5">
        <v>3000</v>
      </c>
      <c r="G7" s="5">
        <v>3</v>
      </c>
      <c r="H7" s="6">
        <v>44022</v>
      </c>
      <c r="I7" s="7" t="s">
        <v>18</v>
      </c>
      <c r="J7" s="3"/>
      <c r="K7" s="2" t="b">
        <f t="shared" si="1"/>
        <v>1</v>
      </c>
      <c r="L7" s="2" t="str">
        <f t="shared" si="6"/>
        <v>Low</v>
      </c>
      <c r="M7" s="2" t="str">
        <f t="shared" si="2"/>
        <v>Low</v>
      </c>
      <c r="N7" s="2" t="str">
        <f t="shared" si="3"/>
        <v>Yes</v>
      </c>
      <c r="O7" s="2" t="str">
        <f t="shared" si="4"/>
        <v>No</v>
      </c>
      <c r="P7" s="2" t="b">
        <f t="shared" si="5"/>
        <v>0</v>
      </c>
    </row>
    <row r="8" spans="1:16" x14ac:dyDescent="0.3">
      <c r="A8" s="5" t="s">
        <v>70</v>
      </c>
      <c r="B8" s="5" t="s">
        <v>71</v>
      </c>
      <c r="C8" s="5" t="s">
        <v>11</v>
      </c>
      <c r="D8" s="5" t="s">
        <v>17</v>
      </c>
      <c r="E8" s="5">
        <v>52000</v>
      </c>
      <c r="F8" s="5">
        <v>3900</v>
      </c>
      <c r="G8" s="5">
        <v>4</v>
      </c>
      <c r="H8" s="6">
        <v>44329</v>
      </c>
      <c r="I8" s="7" t="s">
        <v>72</v>
      </c>
      <c r="J8" s="3"/>
      <c r="K8" s="2" t="b">
        <f t="shared" si="1"/>
        <v>1</v>
      </c>
      <c r="L8" s="2" t="str">
        <f t="shared" si="6"/>
        <v>Low</v>
      </c>
      <c r="M8" s="2" t="str">
        <f t="shared" si="2"/>
        <v>Low</v>
      </c>
      <c r="N8" s="2" t="str">
        <f t="shared" si="3"/>
        <v>No</v>
      </c>
      <c r="O8" s="2" t="str">
        <f t="shared" si="4"/>
        <v>No</v>
      </c>
      <c r="P8" s="2" t="b">
        <f t="shared" si="5"/>
        <v>0</v>
      </c>
    </row>
    <row r="9" spans="1:16" x14ac:dyDescent="0.3">
      <c r="A9" s="5" t="s">
        <v>34</v>
      </c>
      <c r="B9" s="5" t="s">
        <v>35</v>
      </c>
      <c r="C9" s="5" t="s">
        <v>11</v>
      </c>
      <c r="D9" s="5" t="s">
        <v>17</v>
      </c>
      <c r="E9" s="5">
        <v>51000</v>
      </c>
      <c r="F9" s="5">
        <v>4000</v>
      </c>
      <c r="G9" s="5">
        <v>4</v>
      </c>
      <c r="H9" s="6">
        <v>43886</v>
      </c>
      <c r="I9" s="7" t="s">
        <v>36</v>
      </c>
      <c r="J9" s="3"/>
      <c r="K9" s="2" t="b">
        <f t="shared" si="1"/>
        <v>1</v>
      </c>
      <c r="L9" s="2" t="str">
        <f t="shared" si="6"/>
        <v>Good</v>
      </c>
      <c r="M9" s="2" t="str">
        <f t="shared" si="2"/>
        <v>Avg</v>
      </c>
      <c r="N9" s="2" t="str">
        <f t="shared" si="3"/>
        <v>No</v>
      </c>
      <c r="O9" s="2" t="str">
        <f t="shared" si="4"/>
        <v>No</v>
      </c>
      <c r="P9" s="2" t="b">
        <f t="shared" si="5"/>
        <v>0</v>
      </c>
    </row>
    <row r="10" spans="1:16" x14ac:dyDescent="0.3">
      <c r="A10" s="5" t="s">
        <v>43</v>
      </c>
      <c r="B10" s="5" t="s">
        <v>44</v>
      </c>
      <c r="C10" s="5" t="s">
        <v>11</v>
      </c>
      <c r="D10" s="5" t="s">
        <v>22</v>
      </c>
      <c r="E10" s="5">
        <v>53000</v>
      </c>
      <c r="F10" s="5">
        <v>4200</v>
      </c>
      <c r="G10" s="5">
        <v>4</v>
      </c>
      <c r="H10" s="6">
        <v>44531</v>
      </c>
      <c r="I10" s="7" t="s">
        <v>45</v>
      </c>
      <c r="J10" s="3"/>
      <c r="K10" s="2" t="b">
        <f t="shared" si="1"/>
        <v>1</v>
      </c>
      <c r="L10" s="2" t="str">
        <f t="shared" si="6"/>
        <v>Good</v>
      </c>
      <c r="M10" s="2" t="str">
        <f t="shared" si="2"/>
        <v>Avg</v>
      </c>
      <c r="N10" s="2" t="str">
        <f t="shared" si="3"/>
        <v>No</v>
      </c>
      <c r="O10" s="2" t="str">
        <f t="shared" si="4"/>
        <v>No</v>
      </c>
      <c r="P10" s="2" t="b">
        <f t="shared" si="5"/>
        <v>0</v>
      </c>
    </row>
    <row r="11" spans="1:16" x14ac:dyDescent="0.3">
      <c r="A11" s="5" t="s">
        <v>24</v>
      </c>
      <c r="B11" s="5" t="s">
        <v>25</v>
      </c>
      <c r="C11" s="5" t="s">
        <v>11</v>
      </c>
      <c r="D11" s="5" t="s">
        <v>26</v>
      </c>
      <c r="E11" s="5">
        <v>54000</v>
      </c>
      <c r="F11" s="5">
        <v>4500</v>
      </c>
      <c r="G11" s="5">
        <v>4</v>
      </c>
      <c r="H11" s="6">
        <v>44566</v>
      </c>
      <c r="I11" s="7" t="s">
        <v>27</v>
      </c>
      <c r="J11" s="3"/>
      <c r="K11" s="2" t="b">
        <f t="shared" si="1"/>
        <v>1</v>
      </c>
      <c r="L11" s="2" t="str">
        <f t="shared" si="6"/>
        <v>Good</v>
      </c>
      <c r="M11" s="2" t="str">
        <f t="shared" si="2"/>
        <v>Avg</v>
      </c>
      <c r="N11" s="2" t="str">
        <f t="shared" si="3"/>
        <v>No</v>
      </c>
      <c r="O11" s="2" t="str">
        <f t="shared" si="4"/>
        <v>Yes</v>
      </c>
      <c r="P11" s="2" t="b">
        <f t="shared" si="5"/>
        <v>0</v>
      </c>
    </row>
    <row r="12" spans="1:16" x14ac:dyDescent="0.3">
      <c r="A12" s="5" t="s">
        <v>52</v>
      </c>
      <c r="B12" s="5" t="s">
        <v>53</v>
      </c>
      <c r="C12" s="5" t="s">
        <v>11</v>
      </c>
      <c r="D12" s="5" t="s">
        <v>12</v>
      </c>
      <c r="E12" s="5">
        <v>55000</v>
      </c>
      <c r="F12" s="5">
        <v>4700</v>
      </c>
      <c r="G12" s="5">
        <v>4</v>
      </c>
      <c r="H12" s="6">
        <v>43527</v>
      </c>
      <c r="I12" s="7" t="s">
        <v>54</v>
      </c>
      <c r="J12" s="3"/>
      <c r="K12" s="2" t="b">
        <f t="shared" si="1"/>
        <v>1</v>
      </c>
      <c r="L12" s="2" t="str">
        <f t="shared" si="6"/>
        <v>Good</v>
      </c>
      <c r="M12" s="2" t="str">
        <f t="shared" si="2"/>
        <v>Avg</v>
      </c>
      <c r="N12" s="2" t="str">
        <f t="shared" si="3"/>
        <v>No</v>
      </c>
      <c r="O12" s="2" t="str">
        <f t="shared" si="4"/>
        <v>No</v>
      </c>
      <c r="P12" s="2" t="b">
        <f t="shared" si="5"/>
        <v>0</v>
      </c>
    </row>
    <row r="13" spans="1:16" x14ac:dyDescent="0.3">
      <c r="A13" s="5" t="s">
        <v>61</v>
      </c>
      <c r="B13" s="5" t="s">
        <v>62</v>
      </c>
      <c r="C13" s="5" t="s">
        <v>11</v>
      </c>
      <c r="D13" s="5" t="s">
        <v>26</v>
      </c>
      <c r="E13" s="5">
        <v>56000</v>
      </c>
      <c r="F13" s="5">
        <v>4800</v>
      </c>
      <c r="G13" s="5">
        <v>4</v>
      </c>
      <c r="H13" s="6">
        <v>43849</v>
      </c>
      <c r="I13" s="7" t="s">
        <v>63</v>
      </c>
      <c r="J13" s="3"/>
      <c r="K13" s="2" t="b">
        <f t="shared" si="1"/>
        <v>1</v>
      </c>
      <c r="L13" s="2" t="str">
        <f t="shared" si="6"/>
        <v>Good</v>
      </c>
      <c r="M13" s="2" t="str">
        <f t="shared" si="2"/>
        <v>Avg</v>
      </c>
      <c r="N13" s="2" t="str">
        <f t="shared" si="3"/>
        <v>No</v>
      </c>
      <c r="O13" s="2" t="str">
        <f t="shared" si="4"/>
        <v>Yes</v>
      </c>
      <c r="P13" s="2" t="b">
        <f t="shared" si="5"/>
        <v>0</v>
      </c>
    </row>
    <row r="14" spans="1:16" x14ac:dyDescent="0.3">
      <c r="A14" s="5" t="s">
        <v>9</v>
      </c>
      <c r="B14" s="5" t="s">
        <v>10</v>
      </c>
      <c r="C14" s="5" t="s">
        <v>11</v>
      </c>
      <c r="D14" s="5" t="s">
        <v>12</v>
      </c>
      <c r="E14" s="5">
        <v>52000</v>
      </c>
      <c r="F14" s="5">
        <v>5000</v>
      </c>
      <c r="G14" s="5">
        <v>4</v>
      </c>
      <c r="H14" s="6">
        <v>44270</v>
      </c>
      <c r="I14" s="7" t="s">
        <v>13</v>
      </c>
      <c r="J14" s="3"/>
      <c r="K14" s="2" t="b">
        <f t="shared" si="1"/>
        <v>1</v>
      </c>
      <c r="L14" s="2" t="str">
        <f t="shared" si="6"/>
        <v>Good</v>
      </c>
      <c r="M14" s="2" t="str">
        <f t="shared" si="2"/>
        <v>Avg</v>
      </c>
      <c r="N14" s="2" t="str">
        <f t="shared" si="3"/>
        <v>No</v>
      </c>
      <c r="O14" s="2" t="str">
        <f t="shared" si="4"/>
        <v>No</v>
      </c>
      <c r="P14" s="2" t="b">
        <f t="shared" si="5"/>
        <v>1</v>
      </c>
    </row>
    <row r="15" spans="1:16" x14ac:dyDescent="0.3">
      <c r="A15" s="5" t="s">
        <v>37</v>
      </c>
      <c r="B15" s="5" t="s">
        <v>38</v>
      </c>
      <c r="C15" s="5" t="s">
        <v>21</v>
      </c>
      <c r="D15" s="5" t="s">
        <v>26</v>
      </c>
      <c r="E15" s="5">
        <v>68000</v>
      </c>
      <c r="F15" s="5">
        <v>6000</v>
      </c>
      <c r="G15" s="5">
        <v>5</v>
      </c>
      <c r="H15" s="6">
        <v>43707</v>
      </c>
      <c r="I15" s="7" t="s">
        <v>39</v>
      </c>
      <c r="J15" s="3"/>
      <c r="K15" s="2" t="b">
        <f t="shared" si="1"/>
        <v>1</v>
      </c>
      <c r="L15" s="2" t="str">
        <f t="shared" si="6"/>
        <v>Good</v>
      </c>
      <c r="M15" s="2" t="str">
        <f t="shared" si="2"/>
        <v>Good</v>
      </c>
      <c r="N15" s="2" t="str">
        <f t="shared" si="3"/>
        <v>No</v>
      </c>
      <c r="O15" s="2" t="str">
        <f t="shared" si="4"/>
        <v>Yes</v>
      </c>
      <c r="P15" s="2" t="b">
        <f t="shared" si="5"/>
        <v>1</v>
      </c>
    </row>
    <row r="16" spans="1:16" x14ac:dyDescent="0.3">
      <c r="A16" s="5" t="s">
        <v>19</v>
      </c>
      <c r="B16" s="5" t="s">
        <v>20</v>
      </c>
      <c r="C16" s="5" t="s">
        <v>21</v>
      </c>
      <c r="D16" s="5" t="s">
        <v>22</v>
      </c>
      <c r="E16" s="5">
        <v>65000</v>
      </c>
      <c r="F16" s="5">
        <v>7000</v>
      </c>
      <c r="G16" s="5">
        <v>5</v>
      </c>
      <c r="H16" s="6">
        <v>43791</v>
      </c>
      <c r="I16" s="7" t="s">
        <v>23</v>
      </c>
      <c r="J16" s="3"/>
      <c r="K16" s="2" t="b">
        <f t="shared" si="1"/>
        <v>1</v>
      </c>
      <c r="L16" s="2" t="str">
        <f t="shared" si="6"/>
        <v>Good</v>
      </c>
      <c r="M16" s="2" t="str">
        <f t="shared" si="2"/>
        <v>Good</v>
      </c>
      <c r="N16" s="2" t="str">
        <f t="shared" si="3"/>
        <v>No</v>
      </c>
      <c r="O16" s="2" t="str">
        <f t="shared" si="4"/>
        <v>Yes</v>
      </c>
      <c r="P16" s="2" t="b">
        <f t="shared" si="5"/>
        <v>1</v>
      </c>
    </row>
    <row r="17" spans="1:16" x14ac:dyDescent="0.3">
      <c r="A17" s="5" t="s">
        <v>64</v>
      </c>
      <c r="B17" s="5" t="s">
        <v>65</v>
      </c>
      <c r="C17" s="5" t="s">
        <v>21</v>
      </c>
      <c r="D17" s="5" t="s">
        <v>12</v>
      </c>
      <c r="E17" s="5">
        <v>69000</v>
      </c>
      <c r="F17" s="5">
        <v>7100</v>
      </c>
      <c r="G17" s="5">
        <v>5</v>
      </c>
      <c r="H17" s="6">
        <v>43622</v>
      </c>
      <c r="I17" s="7" t="s">
        <v>66</v>
      </c>
      <c r="J17" s="3"/>
      <c r="K17" s="2" t="b">
        <f t="shared" si="1"/>
        <v>1</v>
      </c>
      <c r="L17" s="2" t="str">
        <f t="shared" si="6"/>
        <v>Good</v>
      </c>
      <c r="M17" s="2" t="str">
        <f t="shared" si="2"/>
        <v>Good</v>
      </c>
      <c r="N17" s="2" t="str">
        <f t="shared" si="3"/>
        <v>No</v>
      </c>
      <c r="O17" s="2" t="str">
        <f t="shared" si="4"/>
        <v>Yes</v>
      </c>
      <c r="P17" s="2" t="b">
        <f t="shared" si="5"/>
        <v>1</v>
      </c>
    </row>
    <row r="18" spans="1:16" x14ac:dyDescent="0.3">
      <c r="A18" s="5" t="s">
        <v>46</v>
      </c>
      <c r="B18" s="5" t="s">
        <v>47</v>
      </c>
      <c r="C18" s="5" t="s">
        <v>21</v>
      </c>
      <c r="D18" s="5" t="s">
        <v>17</v>
      </c>
      <c r="E18" s="5">
        <v>70000</v>
      </c>
      <c r="F18" s="5">
        <v>7500</v>
      </c>
      <c r="G18" s="5">
        <v>5</v>
      </c>
      <c r="H18" s="6">
        <v>43241</v>
      </c>
      <c r="I18" s="7" t="s">
        <v>48</v>
      </c>
      <c r="J18" s="3"/>
      <c r="K18" s="2" t="b">
        <f t="shared" si="1"/>
        <v>1</v>
      </c>
      <c r="L18" s="2" t="str">
        <f t="shared" si="6"/>
        <v>Good</v>
      </c>
      <c r="M18" s="2" t="str">
        <f t="shared" si="2"/>
        <v>Good</v>
      </c>
      <c r="N18" s="2" t="str">
        <f t="shared" si="3"/>
        <v>No</v>
      </c>
      <c r="O18" s="2" t="str">
        <f t="shared" si="4"/>
        <v>Yes</v>
      </c>
      <c r="P18" s="2" t="b">
        <f t="shared" si="5"/>
        <v>1</v>
      </c>
    </row>
    <row r="19" spans="1:16" x14ac:dyDescent="0.3">
      <c r="A19" s="5" t="s">
        <v>73</v>
      </c>
      <c r="B19" s="5" t="s">
        <v>74</v>
      </c>
      <c r="C19" s="5" t="s">
        <v>21</v>
      </c>
      <c r="D19" s="5" t="s">
        <v>26</v>
      </c>
      <c r="E19" s="5">
        <v>71000</v>
      </c>
      <c r="F19" s="5">
        <v>7800</v>
      </c>
      <c r="G19" s="5">
        <v>5</v>
      </c>
      <c r="H19" s="6">
        <v>43458</v>
      </c>
      <c r="I19" s="7" t="s">
        <v>75</v>
      </c>
      <c r="J19" s="3"/>
      <c r="K19" s="2" t="b">
        <f t="shared" si="1"/>
        <v>1</v>
      </c>
      <c r="L19" s="2" t="str">
        <f t="shared" si="6"/>
        <v>Good</v>
      </c>
      <c r="M19" s="2" t="str">
        <f t="shared" si="2"/>
        <v>Good</v>
      </c>
      <c r="N19" s="2" t="str">
        <f t="shared" si="3"/>
        <v>No</v>
      </c>
      <c r="O19" s="2" t="str">
        <f t="shared" si="4"/>
        <v>Yes</v>
      </c>
      <c r="P19" s="2" t="b">
        <f t="shared" si="5"/>
        <v>1</v>
      </c>
    </row>
    <row r="20" spans="1:16" x14ac:dyDescent="0.3">
      <c r="A20" s="5" t="s">
        <v>28</v>
      </c>
      <c r="B20" s="5" t="s">
        <v>29</v>
      </c>
      <c r="C20" s="5" t="s">
        <v>21</v>
      </c>
      <c r="D20" s="5" t="s">
        <v>12</v>
      </c>
      <c r="E20" s="5">
        <v>72000</v>
      </c>
      <c r="F20" s="5">
        <v>8000</v>
      </c>
      <c r="G20" s="5">
        <v>5</v>
      </c>
      <c r="H20" s="6">
        <v>43361</v>
      </c>
      <c r="I20" s="7" t="s">
        <v>30</v>
      </c>
      <c r="J20" s="3"/>
      <c r="K20" s="2" t="b">
        <f t="shared" si="1"/>
        <v>1</v>
      </c>
      <c r="L20" s="2" t="str">
        <f t="shared" si="6"/>
        <v>Good</v>
      </c>
      <c r="M20" s="2" t="str">
        <f t="shared" si="2"/>
        <v>Good</v>
      </c>
      <c r="N20" s="2" t="str">
        <f t="shared" si="3"/>
        <v>No</v>
      </c>
      <c r="O20" s="2" t="str">
        <f t="shared" si="4"/>
        <v>Yes</v>
      </c>
      <c r="P20" s="2" t="b">
        <f t="shared" si="5"/>
        <v>1</v>
      </c>
    </row>
    <row r="21" spans="1:16" x14ac:dyDescent="0.3">
      <c r="A21" s="5" t="s">
        <v>55</v>
      </c>
      <c r="B21" s="5" t="s">
        <v>56</v>
      </c>
      <c r="C21" s="5" t="s">
        <v>21</v>
      </c>
      <c r="D21" s="5" t="s">
        <v>22</v>
      </c>
      <c r="E21" s="5">
        <v>73000</v>
      </c>
      <c r="F21" s="5">
        <v>8200</v>
      </c>
      <c r="G21" s="5">
        <v>5</v>
      </c>
      <c r="H21" s="6">
        <v>42930</v>
      </c>
      <c r="I21" s="7" t="s">
        <v>57</v>
      </c>
      <c r="J21" s="3"/>
      <c r="K21" s="2" t="b">
        <f t="shared" si="1"/>
        <v>1</v>
      </c>
      <c r="L21" s="2" t="str">
        <f t="shared" si="6"/>
        <v>Good</v>
      </c>
      <c r="M21" s="2" t="str">
        <f t="shared" si="2"/>
        <v>Good</v>
      </c>
      <c r="N21" s="2" t="str">
        <f t="shared" si="3"/>
        <v>No</v>
      </c>
      <c r="O21" s="2" t="str">
        <f t="shared" si="4"/>
        <v>Yes</v>
      </c>
      <c r="P21" s="2" t="b">
        <f t="shared" si="5"/>
        <v>1</v>
      </c>
    </row>
    <row r="22" spans="1:16" x14ac:dyDescent="0.3">
      <c r="E22" s="2">
        <f>SUM(E2:E21)</f>
        <v>1143000</v>
      </c>
      <c r="F22" s="2">
        <f>SUM(F2:F21)</f>
        <v>97800</v>
      </c>
    </row>
  </sheetData>
  <sortState ref="A2:I21">
    <sortCondition ref="F2:F21"/>
  </sortState>
  <conditionalFormatting sqref="K1:K21">
    <cfRule type="containsText" dxfId="7" priority="1" operator="containsText" text="TRUE">
      <formula>NOT(ISERROR(SEARCH("TRUE",K1)))</formula>
    </cfRule>
    <cfRule type="containsText" dxfId="6" priority="2" operator="containsText" text="FALSE">
      <formula>NOT(ISERROR(SEARCH("FALSE",K1)))</formula>
    </cfRule>
  </conditionalFormatting>
  <hyperlinks>
    <hyperlink ref="I14" r:id="rId1" display="mailto:john.smith@email.com"/>
    <hyperlink ref="I7" r:id="rId2" display="mailto:sara.khan@email.com"/>
    <hyperlink ref="I16" r:id="rId3" display="mailto:mike.j@email.com"/>
    <hyperlink ref="I11" r:id="rId4" display="mailto:emily.d@email.com"/>
    <hyperlink ref="I20" r:id="rId5" display="mailto:raj.patel@email.com"/>
    <hyperlink ref="I4" r:id="rId6" display="mailto:anna.lee@email.com"/>
    <hyperlink ref="I9" r:id="rId7" display="mailto:chris.b@email.com"/>
    <hyperlink ref="I15" r:id="rId8" display="mailto:david.w@email.com"/>
    <hyperlink ref="I2" r:id="rId9" display="mailto:lisa.t@email.com"/>
    <hyperlink ref="I10" r:id="rId10" display="mailto:tom.a@email.com"/>
    <hyperlink ref="I18" r:id="rId11" display="mailto:nina.g@email.com"/>
    <hyperlink ref="I6" r:id="rId12" display="mailto:alex.m@email.com"/>
    <hyperlink ref="I12" r:id="rId13" display="mailto:kevin.w@email.com"/>
    <hyperlink ref="I21" r:id="rId14" display="mailto:priya.s@email.com"/>
    <hyperlink ref="I3" r:id="rId15" display="mailto:daniel.c@email.com"/>
    <hyperlink ref="I13" r:id="rId16" display="mailto:sophia.l@email.com"/>
    <hyperlink ref="I17" r:id="rId17" display="mailto:james.w@email.com"/>
    <hyperlink ref="I5" r:id="rId18" display="mailto:olivia.h@email.com"/>
    <hyperlink ref="I8" r:id="rId19" display="mailto:ethan.a@email.com"/>
    <hyperlink ref="I19" r:id="rId20" display="mailto:chloe.y@email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Views>
    <sheetView tabSelected="1" zoomScale="90" zoomScaleNormal="90" workbookViewId="0">
      <selection activeCell="H4" sqref="H4"/>
    </sheetView>
  </sheetViews>
  <sheetFormatPr defaultRowHeight="14.4" x14ac:dyDescent="0.3"/>
  <cols>
    <col min="1" max="1" width="6.88671875" style="2" bestFit="1" customWidth="1"/>
    <col min="2" max="3" width="13.6640625" style="2" bestFit="1" customWidth="1"/>
    <col min="4" max="4" width="5.44140625" style="2" bestFit="1" customWidth="1"/>
    <col min="5" max="5" width="7.109375" style="2" bestFit="1" customWidth="1"/>
    <col min="6" max="6" width="10.88671875" style="8" bestFit="1" customWidth="1"/>
    <col min="7" max="7" width="8.109375" style="8" bestFit="1" customWidth="1"/>
    <col min="8" max="8" width="6.6640625" style="2" bestFit="1" customWidth="1"/>
    <col min="9" max="9" width="11.21875" style="2" bestFit="1" customWidth="1"/>
    <col min="10" max="10" width="21.33203125" style="2" bestFit="1" customWidth="1"/>
    <col min="11" max="11" width="8.88671875" style="2" bestFit="1" customWidth="1"/>
    <col min="12" max="12" width="12.5546875" style="2" bestFit="1" customWidth="1"/>
    <col min="13" max="13" width="8.109375" style="2" bestFit="1" customWidth="1"/>
    <col min="14" max="14" width="12.44140625" style="2" bestFit="1" customWidth="1"/>
    <col min="15" max="15" width="6.109375" style="2" bestFit="1" customWidth="1"/>
    <col min="16" max="16" width="4.6640625" style="2" hidden="1" customWidth="1"/>
    <col min="17" max="17" width="18.88671875" style="2" bestFit="1" customWidth="1"/>
    <col min="18" max="18" width="11" style="2" bestFit="1" customWidth="1"/>
    <col min="19" max="19" width="9.44140625" style="2" bestFit="1" customWidth="1"/>
    <col min="20" max="20" width="17.5546875" style="2" bestFit="1" customWidth="1"/>
    <col min="21" max="21" width="17" style="2" bestFit="1" customWidth="1"/>
    <col min="22" max="22" width="6.5546875" style="21" bestFit="1" customWidth="1"/>
    <col min="23" max="16384" width="8.88671875" style="21"/>
  </cols>
  <sheetData>
    <row r="1" spans="1:22" s="20" customFormat="1" ht="57.6" x14ac:dyDescent="0.3">
      <c r="A1" s="16"/>
      <c r="B1" s="16"/>
      <c r="C1" s="16"/>
      <c r="D1" s="16"/>
      <c r="E1" s="16"/>
      <c r="F1" s="17"/>
      <c r="G1" s="17"/>
      <c r="H1" s="16"/>
      <c r="I1" s="16"/>
      <c r="J1" s="16"/>
      <c r="K1" s="16" t="s">
        <v>82</v>
      </c>
      <c r="L1" s="16"/>
      <c r="M1" s="16"/>
      <c r="N1" s="16"/>
      <c r="O1" s="18"/>
      <c r="P1" s="18"/>
      <c r="Q1" s="18" t="s">
        <v>93</v>
      </c>
      <c r="R1" s="18"/>
      <c r="S1" s="18"/>
      <c r="T1" s="18" t="s">
        <v>104</v>
      </c>
      <c r="U1" s="18" t="s">
        <v>105</v>
      </c>
    </row>
    <row r="2" spans="1:22" x14ac:dyDescent="0.3">
      <c r="A2" s="14" t="s">
        <v>0</v>
      </c>
      <c r="B2" s="14" t="s">
        <v>91</v>
      </c>
      <c r="C2" s="14" t="s">
        <v>92</v>
      </c>
      <c r="D2" s="14" t="s">
        <v>2</v>
      </c>
      <c r="E2" s="14" t="s">
        <v>3</v>
      </c>
      <c r="F2" s="15" t="s">
        <v>4</v>
      </c>
      <c r="G2" s="15" t="s">
        <v>5</v>
      </c>
      <c r="H2" s="14" t="s">
        <v>6</v>
      </c>
      <c r="I2" s="14" t="s">
        <v>7</v>
      </c>
      <c r="J2" s="14" t="s">
        <v>8</v>
      </c>
      <c r="K2" s="14" t="s">
        <v>80</v>
      </c>
      <c r="L2" s="14" t="s">
        <v>76</v>
      </c>
      <c r="M2" s="14" t="s">
        <v>76</v>
      </c>
      <c r="N2" s="14" t="s">
        <v>76</v>
      </c>
      <c r="O2" s="14" t="s">
        <v>79</v>
      </c>
      <c r="P2" s="14"/>
      <c r="Q2" s="14" t="s">
        <v>90</v>
      </c>
      <c r="R2" s="14" t="s">
        <v>90</v>
      </c>
      <c r="S2" s="14" t="s">
        <v>81</v>
      </c>
      <c r="T2" s="14" t="s">
        <v>77</v>
      </c>
      <c r="U2" s="19" t="s">
        <v>78</v>
      </c>
    </row>
    <row r="3" spans="1:22" x14ac:dyDescent="0.3">
      <c r="A3" s="14"/>
      <c r="B3" s="14"/>
      <c r="C3" s="14"/>
      <c r="D3" s="14"/>
      <c r="E3" s="14"/>
      <c r="F3" s="15"/>
      <c r="G3" s="15"/>
      <c r="H3" s="14"/>
      <c r="I3" s="14"/>
      <c r="J3" s="14"/>
      <c r="K3" s="14" t="s">
        <v>82</v>
      </c>
      <c r="L3" s="14" t="s">
        <v>83</v>
      </c>
      <c r="M3" s="14" t="s">
        <v>84</v>
      </c>
      <c r="N3" s="14" t="s">
        <v>89</v>
      </c>
      <c r="O3" s="14"/>
      <c r="P3" s="14"/>
      <c r="Q3" s="14"/>
      <c r="R3" s="14"/>
      <c r="S3" s="14"/>
      <c r="T3" s="14"/>
      <c r="U3" s="19"/>
    </row>
    <row r="4" spans="1:22" s="9" customFormat="1" x14ac:dyDescent="0.3">
      <c r="A4" s="10" t="s">
        <v>58</v>
      </c>
      <c r="B4" s="10" t="s">
        <v>59</v>
      </c>
      <c r="C4" s="10" t="s">
        <v>85</v>
      </c>
      <c r="D4" s="10" t="s">
        <v>16</v>
      </c>
      <c r="E4" s="10" t="s">
        <v>17</v>
      </c>
      <c r="F4" s="11">
        <v>45000</v>
      </c>
      <c r="G4" s="11">
        <v>2200</v>
      </c>
      <c r="H4" s="10">
        <v>2</v>
      </c>
      <c r="I4" s="12">
        <v>44448</v>
      </c>
      <c r="J4" s="13" t="s">
        <v>60</v>
      </c>
      <c r="K4" s="13" t="b">
        <f t="shared" ref="K4:K23" si="0">F4&lt;=56000</f>
        <v>1</v>
      </c>
      <c r="L4" s="13" t="b">
        <f t="shared" ref="L4:L23" si="1">F4&gt;=56000</f>
        <v>0</v>
      </c>
      <c r="M4" s="13" t="b">
        <f t="shared" ref="M4:M23" si="2">B4=C4</f>
        <v>0</v>
      </c>
      <c r="N4" s="13" t="b">
        <f t="shared" ref="N4:N23" si="3">B4&lt;&gt;C4</f>
        <v>1</v>
      </c>
      <c r="O4" s="13" t="b">
        <f>NOT(F4&lt;50000)</f>
        <v>0</v>
      </c>
      <c r="P4" s="13"/>
      <c r="Q4" s="13" t="str">
        <f t="shared" ref="Q4:Q23" si="4">IF(B4=C4,"Matched","not matched")</f>
        <v>not matched</v>
      </c>
      <c r="R4" s="13" t="str">
        <f t="shared" ref="R4:R23" si="5">IF(F4&lt;56000,"less_Salary","high_Salary")</f>
        <v>less_Salary</v>
      </c>
      <c r="S4" s="13" t="str">
        <f>IF(F4&lt;48000,"Min",IF(F4&lt;50000,"Less",IF(F4&lt;60000,"Avg",IF(F4&lt;65000,"High","Max"))))</f>
        <v>Min</v>
      </c>
      <c r="T4" s="13" t="str">
        <f>IF(AND(D4="HR",H4&gt;6),"Offsite","Local")</f>
        <v>Local</v>
      </c>
      <c r="U4" s="9">
        <f>IF(OR(D4="IT",H4&gt;6),5000,0)</f>
        <v>0</v>
      </c>
      <c r="V4" s="9">
        <f>SEARCH("d",J4,1)</f>
        <v>1</v>
      </c>
    </row>
    <row r="5" spans="1:22" s="9" customFormat="1" x14ac:dyDescent="0.3">
      <c r="A5" s="10" t="s">
        <v>40</v>
      </c>
      <c r="B5" s="10" t="s">
        <v>41</v>
      </c>
      <c r="C5" s="10" t="s">
        <v>41</v>
      </c>
      <c r="D5" s="10" t="s">
        <v>16</v>
      </c>
      <c r="E5" s="10" t="s">
        <v>12</v>
      </c>
      <c r="F5" s="11">
        <v>46000</v>
      </c>
      <c r="G5" s="11">
        <v>2000</v>
      </c>
      <c r="H5" s="10">
        <v>2</v>
      </c>
      <c r="I5" s="12">
        <v>44668</v>
      </c>
      <c r="J5" s="13" t="s">
        <v>42</v>
      </c>
      <c r="K5" s="13" t="b">
        <f t="shared" si="0"/>
        <v>1</v>
      </c>
      <c r="L5" s="13" t="b">
        <f t="shared" si="1"/>
        <v>0</v>
      </c>
      <c r="M5" s="13" t="b">
        <f t="shared" si="2"/>
        <v>1</v>
      </c>
      <c r="N5" s="13" t="b">
        <f t="shared" si="3"/>
        <v>0</v>
      </c>
      <c r="O5" s="13" t="b">
        <f t="shared" ref="O5:O23" si="6">NOT(F5&lt;50000)</f>
        <v>0</v>
      </c>
      <c r="P5" s="13"/>
      <c r="Q5" s="13" t="str">
        <f t="shared" si="4"/>
        <v>Matched</v>
      </c>
      <c r="R5" s="13" t="str">
        <f t="shared" si="5"/>
        <v>less_Salary</v>
      </c>
      <c r="S5" s="13" t="str">
        <f t="shared" ref="S5:S23" si="7">IF(F5&lt;48000,"Min",IF(F5&lt;50000,"Less",IF(F5&lt;60000,"Avg",IF(F5&lt;65000,"High","Max"))))</f>
        <v>Min</v>
      </c>
      <c r="T5" s="13" t="str">
        <f t="shared" ref="T5:T23" si="8">IF(AND(D5="HR",H5&gt;6),"Offsite","Local")</f>
        <v>Local</v>
      </c>
      <c r="U5" s="9">
        <f t="shared" ref="U5:U23" si="9">IF(OR(D5="IT",H5&gt;6),5000,0)</f>
        <v>0</v>
      </c>
      <c r="V5" s="9">
        <f>FIND("email",J5,1)</f>
        <v>8</v>
      </c>
    </row>
    <row r="6" spans="1:22" s="9" customFormat="1" x14ac:dyDescent="0.3">
      <c r="A6" s="10" t="s">
        <v>31</v>
      </c>
      <c r="B6" s="10" t="s">
        <v>32</v>
      </c>
      <c r="C6" s="10" t="s">
        <v>32</v>
      </c>
      <c r="D6" s="10" t="s">
        <v>16</v>
      </c>
      <c r="E6" s="10" t="s">
        <v>22</v>
      </c>
      <c r="F6" s="11">
        <v>47000</v>
      </c>
      <c r="G6" s="11">
        <v>2500</v>
      </c>
      <c r="H6" s="10">
        <v>8</v>
      </c>
      <c r="I6" s="12">
        <v>44359</v>
      </c>
      <c r="J6" s="13" t="s">
        <v>33</v>
      </c>
      <c r="K6" s="13" t="b">
        <f t="shared" si="0"/>
        <v>1</v>
      </c>
      <c r="L6" s="13" t="b">
        <f t="shared" si="1"/>
        <v>0</v>
      </c>
      <c r="M6" s="13" t="b">
        <f t="shared" si="2"/>
        <v>1</v>
      </c>
      <c r="N6" s="13" t="b">
        <f t="shared" si="3"/>
        <v>0</v>
      </c>
      <c r="O6" s="13" t="b">
        <f t="shared" si="6"/>
        <v>0</v>
      </c>
      <c r="P6" s="13"/>
      <c r="Q6" s="13" t="str">
        <f t="shared" si="4"/>
        <v>Matched</v>
      </c>
      <c r="R6" s="13" t="str">
        <f t="shared" si="5"/>
        <v>less_Salary</v>
      </c>
      <c r="S6" s="13" t="str">
        <f t="shared" si="7"/>
        <v>Min</v>
      </c>
      <c r="T6" s="13" t="str">
        <f t="shared" si="8"/>
        <v>Offsite</v>
      </c>
      <c r="U6" s="9">
        <f t="shared" si="9"/>
        <v>5000</v>
      </c>
    </row>
    <row r="7" spans="1:22" s="9" customFormat="1" x14ac:dyDescent="0.3">
      <c r="A7" s="10" t="s">
        <v>67</v>
      </c>
      <c r="B7" s="10" t="s">
        <v>68</v>
      </c>
      <c r="C7" s="10" t="s">
        <v>86</v>
      </c>
      <c r="D7" s="10" t="s">
        <v>16</v>
      </c>
      <c r="E7" s="10" t="s">
        <v>22</v>
      </c>
      <c r="F7" s="11">
        <v>47000</v>
      </c>
      <c r="G7" s="11">
        <v>2600</v>
      </c>
      <c r="H7" s="10">
        <v>3</v>
      </c>
      <c r="I7" s="12">
        <v>44620</v>
      </c>
      <c r="J7" s="13" t="s">
        <v>69</v>
      </c>
      <c r="K7" s="13" t="b">
        <f t="shared" si="0"/>
        <v>1</v>
      </c>
      <c r="L7" s="13" t="b">
        <f t="shared" si="1"/>
        <v>0</v>
      </c>
      <c r="M7" s="13" t="b">
        <f t="shared" si="2"/>
        <v>0</v>
      </c>
      <c r="N7" s="13" t="b">
        <f t="shared" si="3"/>
        <v>1</v>
      </c>
      <c r="O7" s="13" t="b">
        <f t="shared" si="6"/>
        <v>0</v>
      </c>
      <c r="P7" s="13"/>
      <c r="Q7" s="13" t="str">
        <f t="shared" si="4"/>
        <v>not matched</v>
      </c>
      <c r="R7" s="13" t="str">
        <f t="shared" si="5"/>
        <v>less_Salary</v>
      </c>
      <c r="S7" s="13" t="str">
        <f t="shared" si="7"/>
        <v>Min</v>
      </c>
      <c r="T7" s="13" t="str">
        <f t="shared" si="8"/>
        <v>Local</v>
      </c>
      <c r="U7" s="9">
        <f t="shared" si="9"/>
        <v>0</v>
      </c>
      <c r="V7" s="9" t="str">
        <f>IF(FIND("h",J7,1)&gt;0,"Found","Not Found")</f>
        <v>Found</v>
      </c>
    </row>
    <row r="8" spans="1:22" s="9" customFormat="1" x14ac:dyDescent="0.3">
      <c r="A8" s="10" t="s">
        <v>14</v>
      </c>
      <c r="B8" s="10" t="s">
        <v>15</v>
      </c>
      <c r="C8" s="10" t="s">
        <v>15</v>
      </c>
      <c r="D8" s="10" t="s">
        <v>16</v>
      </c>
      <c r="E8" s="10" t="s">
        <v>17</v>
      </c>
      <c r="F8" s="11">
        <v>48000</v>
      </c>
      <c r="G8" s="11">
        <v>3000</v>
      </c>
      <c r="H8" s="10">
        <v>9</v>
      </c>
      <c r="I8" s="12">
        <v>44022</v>
      </c>
      <c r="J8" s="13" t="s">
        <v>18</v>
      </c>
      <c r="K8" s="13" t="b">
        <f t="shared" si="0"/>
        <v>1</v>
      </c>
      <c r="L8" s="13" t="b">
        <f t="shared" si="1"/>
        <v>0</v>
      </c>
      <c r="M8" s="13" t="b">
        <f t="shared" si="2"/>
        <v>1</v>
      </c>
      <c r="N8" s="13" t="b">
        <f t="shared" si="3"/>
        <v>0</v>
      </c>
      <c r="O8" s="13" t="b">
        <f t="shared" si="6"/>
        <v>0</v>
      </c>
      <c r="P8" s="13"/>
      <c r="Q8" s="13" t="str">
        <f t="shared" si="4"/>
        <v>Matched</v>
      </c>
      <c r="R8" s="13" t="str">
        <f t="shared" si="5"/>
        <v>less_Salary</v>
      </c>
      <c r="S8" s="13" t="str">
        <f t="shared" si="7"/>
        <v>Less</v>
      </c>
      <c r="T8" s="13" t="str">
        <f t="shared" si="8"/>
        <v>Offsite</v>
      </c>
      <c r="U8" s="9">
        <f t="shared" si="9"/>
        <v>5000</v>
      </c>
    </row>
    <row r="9" spans="1:22" s="9" customFormat="1" x14ac:dyDescent="0.3">
      <c r="A9" s="10" t="s">
        <v>49</v>
      </c>
      <c r="B9" s="10" t="s">
        <v>50</v>
      </c>
      <c r="C9" s="10" t="s">
        <v>50</v>
      </c>
      <c r="D9" s="10" t="s">
        <v>16</v>
      </c>
      <c r="E9" s="10" t="s">
        <v>26</v>
      </c>
      <c r="F9" s="11">
        <v>49000</v>
      </c>
      <c r="G9" s="11">
        <v>2800</v>
      </c>
      <c r="H9" s="10">
        <v>3</v>
      </c>
      <c r="I9" s="12">
        <v>44115</v>
      </c>
      <c r="J9" s="13" t="s">
        <v>51</v>
      </c>
      <c r="K9" s="13" t="b">
        <f t="shared" si="0"/>
        <v>1</v>
      </c>
      <c r="L9" s="13" t="b">
        <f t="shared" si="1"/>
        <v>0</v>
      </c>
      <c r="M9" s="13" t="b">
        <f t="shared" si="2"/>
        <v>1</v>
      </c>
      <c r="N9" s="13" t="b">
        <f t="shared" si="3"/>
        <v>0</v>
      </c>
      <c r="O9" s="13" t="b">
        <f t="shared" si="6"/>
        <v>0</v>
      </c>
      <c r="P9" s="13"/>
      <c r="Q9" s="13" t="str">
        <f t="shared" si="4"/>
        <v>Matched</v>
      </c>
      <c r="R9" s="13" t="str">
        <f t="shared" si="5"/>
        <v>less_Salary</v>
      </c>
      <c r="S9" s="13" t="str">
        <f t="shared" si="7"/>
        <v>Less</v>
      </c>
      <c r="T9" s="13" t="str">
        <f t="shared" si="8"/>
        <v>Local</v>
      </c>
      <c r="U9" s="9">
        <f t="shared" si="9"/>
        <v>0</v>
      </c>
    </row>
    <row r="10" spans="1:22" s="9" customFormat="1" x14ac:dyDescent="0.3">
      <c r="A10" s="10" t="s">
        <v>34</v>
      </c>
      <c r="B10" s="10" t="s">
        <v>35</v>
      </c>
      <c r="C10" s="10" t="s">
        <v>87</v>
      </c>
      <c r="D10" s="10" t="s">
        <v>11</v>
      </c>
      <c r="E10" s="10" t="s">
        <v>17</v>
      </c>
      <c r="F10" s="11">
        <v>51000</v>
      </c>
      <c r="G10" s="11">
        <v>4000</v>
      </c>
      <c r="H10" s="10">
        <v>4</v>
      </c>
      <c r="I10" s="12">
        <v>43886</v>
      </c>
      <c r="J10" s="13" t="s">
        <v>36</v>
      </c>
      <c r="K10" s="13" t="b">
        <f t="shared" si="0"/>
        <v>1</v>
      </c>
      <c r="L10" s="13" t="b">
        <f t="shared" si="1"/>
        <v>0</v>
      </c>
      <c r="M10" s="13" t="b">
        <f t="shared" si="2"/>
        <v>0</v>
      </c>
      <c r="N10" s="13" t="b">
        <f t="shared" si="3"/>
        <v>1</v>
      </c>
      <c r="O10" s="13" t="b">
        <f t="shared" si="6"/>
        <v>1</v>
      </c>
      <c r="P10" s="13"/>
      <c r="Q10" s="13" t="str">
        <f t="shared" si="4"/>
        <v>not matched</v>
      </c>
      <c r="R10" s="13" t="str">
        <f t="shared" si="5"/>
        <v>less_Salary</v>
      </c>
      <c r="S10" s="13" t="str">
        <f t="shared" si="7"/>
        <v>Avg</v>
      </c>
      <c r="T10" s="13" t="str">
        <f t="shared" si="8"/>
        <v>Local</v>
      </c>
      <c r="U10" s="9">
        <f t="shared" si="9"/>
        <v>0</v>
      </c>
    </row>
    <row r="11" spans="1:22" s="9" customFormat="1" x14ac:dyDescent="0.3">
      <c r="A11" s="10" t="s">
        <v>70</v>
      </c>
      <c r="B11" s="10" t="s">
        <v>71</v>
      </c>
      <c r="C11" s="10" t="s">
        <v>71</v>
      </c>
      <c r="D11" s="10" t="s">
        <v>11</v>
      </c>
      <c r="E11" s="10" t="s">
        <v>17</v>
      </c>
      <c r="F11" s="11">
        <v>52000</v>
      </c>
      <c r="G11" s="11">
        <v>3900</v>
      </c>
      <c r="H11" s="10">
        <v>4</v>
      </c>
      <c r="I11" s="12">
        <v>44329</v>
      </c>
      <c r="J11" s="13" t="s">
        <v>72</v>
      </c>
      <c r="K11" s="13" t="b">
        <f t="shared" si="0"/>
        <v>1</v>
      </c>
      <c r="L11" s="13" t="b">
        <f t="shared" si="1"/>
        <v>0</v>
      </c>
      <c r="M11" s="13" t="b">
        <f t="shared" si="2"/>
        <v>1</v>
      </c>
      <c r="N11" s="13" t="b">
        <f t="shared" si="3"/>
        <v>0</v>
      </c>
      <c r="O11" s="13" t="b">
        <f t="shared" si="6"/>
        <v>1</v>
      </c>
      <c r="P11" s="13"/>
      <c r="Q11" s="13" t="str">
        <f t="shared" si="4"/>
        <v>Matched</v>
      </c>
      <c r="R11" s="13" t="str">
        <f t="shared" si="5"/>
        <v>less_Salary</v>
      </c>
      <c r="S11" s="13" t="str">
        <f t="shared" si="7"/>
        <v>Avg</v>
      </c>
      <c r="T11" s="13" t="str">
        <f t="shared" si="8"/>
        <v>Local</v>
      </c>
      <c r="U11" s="9">
        <f t="shared" si="9"/>
        <v>0</v>
      </c>
    </row>
    <row r="12" spans="1:22" s="9" customFormat="1" x14ac:dyDescent="0.3">
      <c r="A12" s="10" t="s">
        <v>9</v>
      </c>
      <c r="B12" s="10" t="s">
        <v>10</v>
      </c>
      <c r="C12" s="10" t="s">
        <v>10</v>
      </c>
      <c r="D12" s="10" t="s">
        <v>11</v>
      </c>
      <c r="E12" s="10" t="s">
        <v>12</v>
      </c>
      <c r="F12" s="11">
        <v>52000</v>
      </c>
      <c r="G12" s="11">
        <v>5000</v>
      </c>
      <c r="H12" s="10">
        <v>4</v>
      </c>
      <c r="I12" s="12">
        <v>44270</v>
      </c>
      <c r="J12" s="13" t="s">
        <v>13</v>
      </c>
      <c r="K12" s="13" t="b">
        <f t="shared" si="0"/>
        <v>1</v>
      </c>
      <c r="L12" s="13" t="b">
        <f t="shared" si="1"/>
        <v>0</v>
      </c>
      <c r="M12" s="13" t="b">
        <f t="shared" si="2"/>
        <v>1</v>
      </c>
      <c r="N12" s="13" t="b">
        <f t="shared" si="3"/>
        <v>0</v>
      </c>
      <c r="O12" s="13" t="b">
        <f t="shared" si="6"/>
        <v>1</v>
      </c>
      <c r="P12" s="13"/>
      <c r="Q12" s="13" t="str">
        <f t="shared" si="4"/>
        <v>Matched</v>
      </c>
      <c r="R12" s="13" t="str">
        <f t="shared" si="5"/>
        <v>less_Salary</v>
      </c>
      <c r="S12" s="13" t="str">
        <f t="shared" si="7"/>
        <v>Avg</v>
      </c>
      <c r="T12" s="13" t="str">
        <f t="shared" si="8"/>
        <v>Local</v>
      </c>
      <c r="U12" s="9">
        <f t="shared" si="9"/>
        <v>0</v>
      </c>
    </row>
    <row r="13" spans="1:22" s="9" customFormat="1" x14ac:dyDescent="0.3">
      <c r="A13" s="10" t="s">
        <v>43</v>
      </c>
      <c r="B13" s="10" t="s">
        <v>44</v>
      </c>
      <c r="C13" s="10" t="s">
        <v>44</v>
      </c>
      <c r="D13" s="10" t="s">
        <v>11</v>
      </c>
      <c r="E13" s="10" t="s">
        <v>22</v>
      </c>
      <c r="F13" s="11">
        <v>53000</v>
      </c>
      <c r="G13" s="11">
        <v>4200</v>
      </c>
      <c r="H13" s="10">
        <v>10</v>
      </c>
      <c r="I13" s="12">
        <v>44531</v>
      </c>
      <c r="J13" s="13" t="s">
        <v>45</v>
      </c>
      <c r="K13" s="13" t="b">
        <f t="shared" si="0"/>
        <v>1</v>
      </c>
      <c r="L13" s="13" t="b">
        <f t="shared" si="1"/>
        <v>0</v>
      </c>
      <c r="M13" s="13" t="b">
        <f t="shared" si="2"/>
        <v>1</v>
      </c>
      <c r="N13" s="13" t="b">
        <f t="shared" si="3"/>
        <v>0</v>
      </c>
      <c r="O13" s="13" t="b">
        <f t="shared" si="6"/>
        <v>1</v>
      </c>
      <c r="P13" s="13"/>
      <c r="Q13" s="13" t="str">
        <f t="shared" si="4"/>
        <v>Matched</v>
      </c>
      <c r="R13" s="13" t="str">
        <f t="shared" si="5"/>
        <v>less_Salary</v>
      </c>
      <c r="S13" s="13" t="str">
        <f t="shared" si="7"/>
        <v>Avg</v>
      </c>
      <c r="T13" s="13" t="str">
        <f t="shared" si="8"/>
        <v>Local</v>
      </c>
      <c r="U13" s="9">
        <f t="shared" si="9"/>
        <v>5000</v>
      </c>
    </row>
    <row r="14" spans="1:22" s="9" customFormat="1" x14ac:dyDescent="0.3">
      <c r="A14" s="10" t="s">
        <v>24</v>
      </c>
      <c r="B14" s="10" t="s">
        <v>25</v>
      </c>
      <c r="C14" s="10" t="s">
        <v>25</v>
      </c>
      <c r="D14" s="10" t="s">
        <v>11</v>
      </c>
      <c r="E14" s="10" t="s">
        <v>26</v>
      </c>
      <c r="F14" s="11">
        <v>54000</v>
      </c>
      <c r="G14" s="11">
        <v>4500</v>
      </c>
      <c r="H14" s="10">
        <v>4</v>
      </c>
      <c r="I14" s="12">
        <v>44566</v>
      </c>
      <c r="J14" s="13" t="s">
        <v>27</v>
      </c>
      <c r="K14" s="13" t="b">
        <f t="shared" si="0"/>
        <v>1</v>
      </c>
      <c r="L14" s="13" t="b">
        <f t="shared" si="1"/>
        <v>0</v>
      </c>
      <c r="M14" s="13" t="b">
        <f t="shared" si="2"/>
        <v>1</v>
      </c>
      <c r="N14" s="13" t="b">
        <f t="shared" si="3"/>
        <v>0</v>
      </c>
      <c r="O14" s="13" t="b">
        <f t="shared" si="6"/>
        <v>1</v>
      </c>
      <c r="P14" s="13"/>
      <c r="Q14" s="13" t="str">
        <f t="shared" si="4"/>
        <v>Matched</v>
      </c>
      <c r="R14" s="13" t="str">
        <f t="shared" si="5"/>
        <v>less_Salary</v>
      </c>
      <c r="S14" s="13" t="str">
        <f t="shared" si="7"/>
        <v>Avg</v>
      </c>
      <c r="T14" s="13" t="str">
        <f t="shared" si="8"/>
        <v>Local</v>
      </c>
      <c r="U14" s="9">
        <f t="shared" si="9"/>
        <v>0</v>
      </c>
    </row>
    <row r="15" spans="1:22" s="9" customFormat="1" x14ac:dyDescent="0.3">
      <c r="A15" s="10" t="s">
        <v>52</v>
      </c>
      <c r="B15" s="10" t="s">
        <v>53</v>
      </c>
      <c r="C15" s="10" t="s">
        <v>53</v>
      </c>
      <c r="D15" s="10" t="s">
        <v>11</v>
      </c>
      <c r="E15" s="10" t="s">
        <v>12</v>
      </c>
      <c r="F15" s="11">
        <v>55000</v>
      </c>
      <c r="G15" s="11">
        <v>4700</v>
      </c>
      <c r="H15" s="10">
        <v>4</v>
      </c>
      <c r="I15" s="12">
        <v>43527</v>
      </c>
      <c r="J15" s="13" t="s">
        <v>54</v>
      </c>
      <c r="K15" s="13" t="b">
        <f t="shared" si="0"/>
        <v>1</v>
      </c>
      <c r="L15" s="13" t="b">
        <f t="shared" si="1"/>
        <v>0</v>
      </c>
      <c r="M15" s="13" t="b">
        <f t="shared" si="2"/>
        <v>1</v>
      </c>
      <c r="N15" s="13" t="b">
        <f t="shared" si="3"/>
        <v>0</v>
      </c>
      <c r="O15" s="13" t="b">
        <f t="shared" si="6"/>
        <v>1</v>
      </c>
      <c r="P15" s="13"/>
      <c r="Q15" s="13" t="str">
        <f t="shared" si="4"/>
        <v>Matched</v>
      </c>
      <c r="R15" s="13" t="str">
        <f t="shared" si="5"/>
        <v>less_Salary</v>
      </c>
      <c r="S15" s="13" t="str">
        <f t="shared" si="7"/>
        <v>Avg</v>
      </c>
      <c r="T15" s="13" t="str">
        <f t="shared" si="8"/>
        <v>Local</v>
      </c>
      <c r="U15" s="9">
        <f t="shared" si="9"/>
        <v>0</v>
      </c>
    </row>
    <row r="16" spans="1:22" s="9" customFormat="1" x14ac:dyDescent="0.3">
      <c r="A16" s="10" t="s">
        <v>61</v>
      </c>
      <c r="B16" s="10" t="s">
        <v>62</v>
      </c>
      <c r="C16" s="10" t="s">
        <v>88</v>
      </c>
      <c r="D16" s="10" t="s">
        <v>11</v>
      </c>
      <c r="E16" s="10" t="s">
        <v>26</v>
      </c>
      <c r="F16" s="11">
        <v>56000</v>
      </c>
      <c r="G16" s="11">
        <v>4800</v>
      </c>
      <c r="H16" s="10">
        <v>4</v>
      </c>
      <c r="I16" s="12">
        <v>43849</v>
      </c>
      <c r="J16" s="13" t="s">
        <v>63</v>
      </c>
      <c r="K16" s="13" t="b">
        <f t="shared" si="0"/>
        <v>1</v>
      </c>
      <c r="L16" s="13" t="b">
        <f t="shared" si="1"/>
        <v>1</v>
      </c>
      <c r="M16" s="13" t="b">
        <f t="shared" si="2"/>
        <v>0</v>
      </c>
      <c r="N16" s="13" t="b">
        <f t="shared" si="3"/>
        <v>1</v>
      </c>
      <c r="O16" s="13" t="b">
        <f t="shared" si="6"/>
        <v>1</v>
      </c>
      <c r="P16" s="13"/>
      <c r="Q16" s="13" t="str">
        <f t="shared" si="4"/>
        <v>not matched</v>
      </c>
      <c r="R16" s="13" t="str">
        <f t="shared" si="5"/>
        <v>high_Salary</v>
      </c>
      <c r="S16" s="13" t="str">
        <f t="shared" si="7"/>
        <v>Avg</v>
      </c>
      <c r="T16" s="13" t="str">
        <f t="shared" si="8"/>
        <v>Local</v>
      </c>
      <c r="U16" s="9">
        <f t="shared" si="9"/>
        <v>0</v>
      </c>
    </row>
    <row r="17" spans="1:21" s="9" customFormat="1" x14ac:dyDescent="0.3">
      <c r="A17" s="10" t="s">
        <v>19</v>
      </c>
      <c r="B17" s="10" t="s">
        <v>20</v>
      </c>
      <c r="C17" s="10" t="s">
        <v>20</v>
      </c>
      <c r="D17" s="10" t="s">
        <v>21</v>
      </c>
      <c r="E17" s="10" t="s">
        <v>22</v>
      </c>
      <c r="F17" s="11">
        <v>64000</v>
      </c>
      <c r="G17" s="11">
        <v>7000</v>
      </c>
      <c r="H17" s="10">
        <v>5</v>
      </c>
      <c r="I17" s="12">
        <v>43791</v>
      </c>
      <c r="J17" s="13" t="s">
        <v>23</v>
      </c>
      <c r="K17" s="13" t="b">
        <f t="shared" si="0"/>
        <v>0</v>
      </c>
      <c r="L17" s="13" t="b">
        <f t="shared" si="1"/>
        <v>1</v>
      </c>
      <c r="M17" s="13" t="b">
        <f t="shared" si="2"/>
        <v>1</v>
      </c>
      <c r="N17" s="13" t="b">
        <f t="shared" si="3"/>
        <v>0</v>
      </c>
      <c r="O17" s="13" t="b">
        <f t="shared" si="6"/>
        <v>1</v>
      </c>
      <c r="P17" s="13"/>
      <c r="Q17" s="13" t="str">
        <f t="shared" si="4"/>
        <v>Matched</v>
      </c>
      <c r="R17" s="13" t="str">
        <f t="shared" si="5"/>
        <v>high_Salary</v>
      </c>
      <c r="S17" s="13" t="str">
        <f t="shared" si="7"/>
        <v>High</v>
      </c>
      <c r="T17" s="13" t="str">
        <f t="shared" si="8"/>
        <v>Local</v>
      </c>
      <c r="U17" s="9">
        <f t="shared" si="9"/>
        <v>5000</v>
      </c>
    </row>
    <row r="18" spans="1:21" s="9" customFormat="1" x14ac:dyDescent="0.3">
      <c r="A18" s="10" t="s">
        <v>37</v>
      </c>
      <c r="B18" s="10" t="s">
        <v>38</v>
      </c>
      <c r="C18" s="10" t="s">
        <v>38</v>
      </c>
      <c r="D18" s="10" t="s">
        <v>21</v>
      </c>
      <c r="E18" s="10" t="s">
        <v>26</v>
      </c>
      <c r="F18" s="11">
        <v>63000</v>
      </c>
      <c r="G18" s="11">
        <v>6000</v>
      </c>
      <c r="H18" s="10">
        <v>5</v>
      </c>
      <c r="I18" s="12">
        <v>43707</v>
      </c>
      <c r="J18" s="13" t="s">
        <v>39</v>
      </c>
      <c r="K18" s="13" t="b">
        <f t="shared" si="0"/>
        <v>0</v>
      </c>
      <c r="L18" s="13" t="b">
        <f t="shared" si="1"/>
        <v>1</v>
      </c>
      <c r="M18" s="13" t="b">
        <f t="shared" si="2"/>
        <v>1</v>
      </c>
      <c r="N18" s="13" t="b">
        <f t="shared" si="3"/>
        <v>0</v>
      </c>
      <c r="O18" s="13" t="b">
        <f t="shared" si="6"/>
        <v>1</v>
      </c>
      <c r="P18" s="13"/>
      <c r="Q18" s="13" t="str">
        <f t="shared" si="4"/>
        <v>Matched</v>
      </c>
      <c r="R18" s="13" t="str">
        <f t="shared" si="5"/>
        <v>high_Salary</v>
      </c>
      <c r="S18" s="13" t="str">
        <f t="shared" si="7"/>
        <v>High</v>
      </c>
      <c r="T18" s="13" t="str">
        <f t="shared" si="8"/>
        <v>Local</v>
      </c>
      <c r="U18" s="9">
        <f t="shared" si="9"/>
        <v>5000</v>
      </c>
    </row>
    <row r="19" spans="1:21" s="9" customFormat="1" x14ac:dyDescent="0.3">
      <c r="A19" s="10" t="s">
        <v>64</v>
      </c>
      <c r="B19" s="10" t="s">
        <v>65</v>
      </c>
      <c r="C19" s="10" t="s">
        <v>65</v>
      </c>
      <c r="D19" s="10" t="s">
        <v>21</v>
      </c>
      <c r="E19" s="10" t="s">
        <v>12</v>
      </c>
      <c r="F19" s="11">
        <v>69000</v>
      </c>
      <c r="G19" s="11">
        <v>7100</v>
      </c>
      <c r="H19" s="10">
        <v>8</v>
      </c>
      <c r="I19" s="12">
        <v>43622</v>
      </c>
      <c r="J19" s="13" t="s">
        <v>66</v>
      </c>
      <c r="K19" s="13" t="b">
        <f t="shared" si="0"/>
        <v>0</v>
      </c>
      <c r="L19" s="13" t="b">
        <f t="shared" si="1"/>
        <v>1</v>
      </c>
      <c r="M19" s="13" t="b">
        <f t="shared" si="2"/>
        <v>1</v>
      </c>
      <c r="N19" s="13" t="b">
        <f t="shared" si="3"/>
        <v>0</v>
      </c>
      <c r="O19" s="13" t="b">
        <f t="shared" si="6"/>
        <v>1</v>
      </c>
      <c r="P19" s="13"/>
      <c r="Q19" s="13" t="str">
        <f t="shared" si="4"/>
        <v>Matched</v>
      </c>
      <c r="R19" s="13" t="str">
        <f t="shared" si="5"/>
        <v>high_Salary</v>
      </c>
      <c r="S19" s="13" t="str">
        <f t="shared" si="7"/>
        <v>Max</v>
      </c>
      <c r="T19" s="13" t="str">
        <f t="shared" si="8"/>
        <v>Local</v>
      </c>
      <c r="U19" s="9">
        <f t="shared" si="9"/>
        <v>5000</v>
      </c>
    </row>
    <row r="20" spans="1:21" s="9" customFormat="1" x14ac:dyDescent="0.3">
      <c r="A20" s="10" t="s">
        <v>46</v>
      </c>
      <c r="B20" s="10" t="s">
        <v>47</v>
      </c>
      <c r="C20" s="10" t="s">
        <v>47</v>
      </c>
      <c r="D20" s="10" t="s">
        <v>21</v>
      </c>
      <c r="E20" s="10" t="s">
        <v>17</v>
      </c>
      <c r="F20" s="11">
        <v>70000</v>
      </c>
      <c r="G20" s="11">
        <v>7500</v>
      </c>
      <c r="H20" s="10">
        <v>5</v>
      </c>
      <c r="I20" s="12">
        <v>43241</v>
      </c>
      <c r="J20" s="13" t="s">
        <v>48</v>
      </c>
      <c r="K20" s="13" t="b">
        <f t="shared" si="0"/>
        <v>0</v>
      </c>
      <c r="L20" s="13" t="b">
        <f t="shared" si="1"/>
        <v>1</v>
      </c>
      <c r="M20" s="13" t="b">
        <f t="shared" si="2"/>
        <v>1</v>
      </c>
      <c r="N20" s="13" t="b">
        <f t="shared" si="3"/>
        <v>0</v>
      </c>
      <c r="O20" s="13" t="b">
        <f t="shared" si="6"/>
        <v>1</v>
      </c>
      <c r="P20" s="13"/>
      <c r="Q20" s="13" t="str">
        <f t="shared" si="4"/>
        <v>Matched</v>
      </c>
      <c r="R20" s="13" t="str">
        <f t="shared" si="5"/>
        <v>high_Salary</v>
      </c>
      <c r="S20" s="13" t="str">
        <f t="shared" si="7"/>
        <v>Max</v>
      </c>
      <c r="T20" s="13" t="str">
        <f t="shared" si="8"/>
        <v>Local</v>
      </c>
      <c r="U20" s="9">
        <f t="shared" si="9"/>
        <v>5000</v>
      </c>
    </row>
    <row r="21" spans="1:21" s="9" customFormat="1" x14ac:dyDescent="0.3">
      <c r="A21" s="10" t="s">
        <v>73</v>
      </c>
      <c r="B21" s="10" t="s">
        <v>74</v>
      </c>
      <c r="C21" s="10" t="s">
        <v>74</v>
      </c>
      <c r="D21" s="10" t="s">
        <v>21</v>
      </c>
      <c r="E21" s="10" t="s">
        <v>26</v>
      </c>
      <c r="F21" s="11">
        <v>71000</v>
      </c>
      <c r="G21" s="11">
        <v>7800</v>
      </c>
      <c r="H21" s="10">
        <v>5</v>
      </c>
      <c r="I21" s="12">
        <v>43458</v>
      </c>
      <c r="J21" s="13" t="s">
        <v>75</v>
      </c>
      <c r="K21" s="13" t="b">
        <f t="shared" si="0"/>
        <v>0</v>
      </c>
      <c r="L21" s="13" t="b">
        <f t="shared" si="1"/>
        <v>1</v>
      </c>
      <c r="M21" s="13" t="b">
        <f t="shared" si="2"/>
        <v>1</v>
      </c>
      <c r="N21" s="13" t="b">
        <f t="shared" si="3"/>
        <v>0</v>
      </c>
      <c r="O21" s="13" t="b">
        <f t="shared" si="6"/>
        <v>1</v>
      </c>
      <c r="P21" s="13"/>
      <c r="Q21" s="13" t="str">
        <f t="shared" si="4"/>
        <v>Matched</v>
      </c>
      <c r="R21" s="13" t="str">
        <f t="shared" si="5"/>
        <v>high_Salary</v>
      </c>
      <c r="S21" s="13" t="str">
        <f t="shared" si="7"/>
        <v>Max</v>
      </c>
      <c r="T21" s="13" t="str">
        <f t="shared" si="8"/>
        <v>Local</v>
      </c>
      <c r="U21" s="9">
        <f t="shared" si="9"/>
        <v>5000</v>
      </c>
    </row>
    <row r="22" spans="1:21" s="9" customFormat="1" x14ac:dyDescent="0.3">
      <c r="A22" s="10" t="s">
        <v>28</v>
      </c>
      <c r="B22" s="10" t="s">
        <v>29</v>
      </c>
      <c r="C22" s="10" t="s">
        <v>29</v>
      </c>
      <c r="D22" s="10" t="s">
        <v>21</v>
      </c>
      <c r="E22" s="10" t="s">
        <v>12</v>
      </c>
      <c r="F22" s="11">
        <v>72000</v>
      </c>
      <c r="G22" s="11">
        <v>8000</v>
      </c>
      <c r="H22" s="10">
        <v>5</v>
      </c>
      <c r="I22" s="12">
        <v>43361</v>
      </c>
      <c r="J22" s="13" t="s">
        <v>30</v>
      </c>
      <c r="K22" s="13" t="b">
        <f t="shared" si="0"/>
        <v>0</v>
      </c>
      <c r="L22" s="13" t="b">
        <f t="shared" si="1"/>
        <v>1</v>
      </c>
      <c r="M22" s="13" t="b">
        <f t="shared" si="2"/>
        <v>1</v>
      </c>
      <c r="N22" s="13" t="b">
        <f t="shared" si="3"/>
        <v>0</v>
      </c>
      <c r="O22" s="13" t="b">
        <f t="shared" si="6"/>
        <v>1</v>
      </c>
      <c r="P22" s="13"/>
      <c r="Q22" s="13" t="str">
        <f t="shared" si="4"/>
        <v>Matched</v>
      </c>
      <c r="R22" s="13" t="str">
        <f t="shared" si="5"/>
        <v>high_Salary</v>
      </c>
      <c r="S22" s="13" t="str">
        <f t="shared" si="7"/>
        <v>Max</v>
      </c>
      <c r="T22" s="13" t="str">
        <f t="shared" si="8"/>
        <v>Local</v>
      </c>
      <c r="U22" s="9">
        <f t="shared" si="9"/>
        <v>5000</v>
      </c>
    </row>
    <row r="23" spans="1:21" s="9" customFormat="1" x14ac:dyDescent="0.3">
      <c r="A23" s="10" t="s">
        <v>55</v>
      </c>
      <c r="B23" s="10" t="s">
        <v>56</v>
      </c>
      <c r="C23" s="10" t="s">
        <v>56</v>
      </c>
      <c r="D23" s="10" t="s">
        <v>21</v>
      </c>
      <c r="E23" s="10" t="s">
        <v>22</v>
      </c>
      <c r="F23" s="11">
        <v>73000</v>
      </c>
      <c r="G23" s="11">
        <v>8200</v>
      </c>
      <c r="H23" s="10">
        <v>5</v>
      </c>
      <c r="I23" s="12">
        <v>42930</v>
      </c>
      <c r="J23" s="13" t="s">
        <v>57</v>
      </c>
      <c r="K23" s="13" t="b">
        <f t="shared" si="0"/>
        <v>0</v>
      </c>
      <c r="L23" s="13" t="b">
        <f t="shared" si="1"/>
        <v>1</v>
      </c>
      <c r="M23" s="13" t="b">
        <f t="shared" si="2"/>
        <v>1</v>
      </c>
      <c r="N23" s="13" t="b">
        <f t="shared" si="3"/>
        <v>0</v>
      </c>
      <c r="O23" s="13" t="b">
        <f t="shared" si="6"/>
        <v>1</v>
      </c>
      <c r="P23" s="13"/>
      <c r="Q23" s="13" t="str">
        <f t="shared" si="4"/>
        <v>Matched</v>
      </c>
      <c r="R23" s="13" t="str">
        <f t="shared" si="5"/>
        <v>high_Salary</v>
      </c>
      <c r="S23" s="13" t="str">
        <f t="shared" si="7"/>
        <v>Max</v>
      </c>
      <c r="T23" s="13" t="str">
        <f t="shared" si="8"/>
        <v>Local</v>
      </c>
      <c r="U23" s="9">
        <f t="shared" si="9"/>
        <v>5000</v>
      </c>
    </row>
    <row r="24" spans="1:21" x14ac:dyDescent="0.3">
      <c r="F24" s="8">
        <f>SUM(F6:F23)</f>
        <v>1046000</v>
      </c>
      <c r="G24" s="8">
        <f>SUM(G6:G23)</f>
        <v>93600</v>
      </c>
    </row>
    <row r="25" spans="1:21" x14ac:dyDescent="0.3">
      <c r="J25" s="2" t="s">
        <v>99</v>
      </c>
      <c r="K25" s="2" t="s">
        <v>100</v>
      </c>
    </row>
    <row r="26" spans="1:21" x14ac:dyDescent="0.3">
      <c r="J26" s="2" t="s">
        <v>95</v>
      </c>
      <c r="K26" s="2" t="s">
        <v>96</v>
      </c>
    </row>
    <row r="27" spans="1:21" x14ac:dyDescent="0.3">
      <c r="J27" s="2" t="s">
        <v>97</v>
      </c>
      <c r="K27" s="2" t="s">
        <v>98</v>
      </c>
    </row>
    <row r="28" spans="1:21" x14ac:dyDescent="0.3">
      <c r="J28" s="2" t="s">
        <v>101</v>
      </c>
      <c r="K28" s="2" t="s">
        <v>94</v>
      </c>
    </row>
    <row r="29" spans="1:21" x14ac:dyDescent="0.3">
      <c r="J29" s="2" t="s">
        <v>102</v>
      </c>
      <c r="K29" s="2" t="s">
        <v>103</v>
      </c>
    </row>
  </sheetData>
  <sortState ref="A2:T23">
    <sortCondition ref="F2:F23"/>
  </sortState>
  <conditionalFormatting sqref="K4:K5">
    <cfRule type="containsText" dxfId="5" priority="9" operator="containsText" text="TRUE">
      <formula>NOT(ISERROR(SEARCH("TRUE",K4)))</formula>
    </cfRule>
    <cfRule type="containsText" dxfId="4" priority="10" operator="containsText" text="FALSE">
      <formula>NOT(ISERROR(SEARCH("FALSE",K4)))</formula>
    </cfRule>
  </conditionalFormatting>
  <conditionalFormatting sqref="K6:N23 K2:N3 Q2:Q3 Q6:Q23">
    <cfRule type="containsText" dxfId="3" priority="5" operator="containsText" text="False">
      <formula>NOT(ISERROR(SEARCH("False",K2)))</formula>
    </cfRule>
    <cfRule type="containsText" dxfId="2" priority="6" operator="containsText" text="True">
      <formula>NOT(ISERROR(SEARCH("True",K2)))</formula>
    </cfRule>
  </conditionalFormatting>
  <conditionalFormatting sqref="U4:U23">
    <cfRule type="containsText" dxfId="1" priority="1" operator="containsText" text="TRUE">
      <formula>NOT(ISERROR(SEARCH("TRUE",U4)))</formula>
    </cfRule>
    <cfRule type="containsText" dxfId="0" priority="2" operator="containsText" text="FALSE">
      <formula>NOT(ISERROR(SEARCH("FALSE",U4)))</formula>
    </cfRule>
  </conditionalFormatting>
  <hyperlinks>
    <hyperlink ref="J12" r:id="rId1" display="mailto:john.smith@email.com"/>
    <hyperlink ref="J8" r:id="rId2" display="mailto:sara.khan@email.com"/>
    <hyperlink ref="J17" r:id="rId3" display="mailto:mike.j@email.com"/>
    <hyperlink ref="J14" r:id="rId4" display="mailto:emily.d@email.com"/>
    <hyperlink ref="J22" r:id="rId5" display="mailto:raj.patel@email.com"/>
    <hyperlink ref="J6" r:id="rId6" display="mailto:anna.lee@email.com"/>
    <hyperlink ref="J10" r:id="rId7" display="mailto:chris.b@email.com"/>
    <hyperlink ref="J18" r:id="rId8" display="mailto:david.w@email.com"/>
    <hyperlink ref="J5" r:id="rId9" display="mailto:lisa.t@email.com"/>
    <hyperlink ref="J13" r:id="rId10" display="mailto:tom.a@email.com"/>
    <hyperlink ref="J20" r:id="rId11" display="mailto:nina.g@email.com"/>
    <hyperlink ref="J9" r:id="rId12" display="mailto:alex.m@email.com"/>
    <hyperlink ref="J15" r:id="rId13" display="mailto:kevin.w@email.com"/>
    <hyperlink ref="J23" r:id="rId14" display="mailto:priya.s@email.com"/>
    <hyperlink ref="J4" r:id="rId15" display="mailto:daniel.c@email.com"/>
    <hyperlink ref="J16" r:id="rId16" display="mailto:sophia.l@email.com"/>
    <hyperlink ref="J19" r:id="rId17" display="mailto:james.w@email.com"/>
    <hyperlink ref="J7" r:id="rId18" display="mailto:olivia.h@email.com"/>
    <hyperlink ref="J11" r:id="rId19" display="mailto:ethan.a@email.com"/>
    <hyperlink ref="J21" r:id="rId20" display="mailto:chloe.y@email.com"/>
  </hyperlinks>
  <pageMargins left="0.7" right="0.7" top="0.75" bottom="0.75" header="0.3" footer="0.3"/>
  <pageSetup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ComparisonOperator</vt:lpstr>
      <vt:lpstr>ConditionalFunctions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2026-04-28T03:24:16Z</dcterms:created>
  <dcterms:modified xsi:type="dcterms:W3CDTF">2026-07-07T11:02:12Z</dcterms:modified>
</cp:coreProperties>
</file>