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2" activeTab="7"/>
  </bookViews>
  <sheets>
    <sheet name="Sheet1" sheetId="1" r:id="rId1"/>
    <sheet name="Basic Mathematical Formulas" sheetId="2" r:id="rId2"/>
    <sheet name="Statistical Formulas" sheetId="3" r:id="rId3"/>
    <sheet name="Date &amp; Time Functions" sheetId="4" r:id="rId4"/>
    <sheet name="COUNTfUNCTIONS" sheetId="5" r:id="rId5"/>
    <sheet name="Sheet5" sheetId="6" r:id="rId6"/>
    <sheet name="Sheet3" sheetId="8" r:id="rId7"/>
    <sheet name="Sheet2" sheetId="7" r:id="rId8"/>
  </sheets>
  <calcPr calcId="162913"/>
  <pivotCaches>
    <pivotCache cacheId="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7" l="1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Q6" i="7"/>
  <c r="Q5" i="7"/>
  <c r="Q4" i="7"/>
  <c r="Q3" i="7"/>
  <c r="Q2" i="7"/>
  <c r="B22" i="4" l="1"/>
  <c r="C20" i="4"/>
  <c r="B20" i="4" s="1"/>
  <c r="C19" i="4"/>
  <c r="B19" i="4" s="1"/>
  <c r="C18" i="4"/>
  <c r="B18" i="4" s="1"/>
  <c r="B14" i="4"/>
  <c r="B13" i="4"/>
  <c r="B8" i="4"/>
  <c r="B7" i="4"/>
  <c r="B6" i="4"/>
  <c r="B5" i="4"/>
  <c r="B4" i="4"/>
  <c r="B3" i="4"/>
  <c r="G4" i="3"/>
  <c r="H7" i="2"/>
  <c r="H6" i="2"/>
  <c r="H5" i="2"/>
  <c r="H4" i="2"/>
  <c r="H3" i="2"/>
  <c r="H2" i="2"/>
  <c r="D11" i="2"/>
  <c r="H1" i="2"/>
  <c r="N3" i="3" l="1"/>
  <c r="D3" i="3"/>
  <c r="D4" i="3" l="1"/>
  <c r="D5" i="3" s="1"/>
  <c r="K2" i="3"/>
  <c r="D6" i="3"/>
  <c r="D7" i="3" s="1"/>
  <c r="D8" i="3" s="1"/>
  <c r="D9" i="3" s="1"/>
  <c r="D10" i="3" s="1"/>
  <c r="D11" i="3" s="1"/>
  <c r="D12" i="3" s="1"/>
  <c r="D13" i="3" s="1"/>
  <c r="D14" i="3" s="1"/>
  <c r="K3" i="3" l="1"/>
  <c r="G2" i="3"/>
  <c r="G3" i="3"/>
  <c r="K4" i="3"/>
</calcChain>
</file>

<file path=xl/sharedStrings.xml><?xml version="1.0" encoding="utf-8"?>
<sst xmlns="http://schemas.openxmlformats.org/spreadsheetml/2006/main" count="261" uniqueCount="129">
  <si>
    <t>1. Basic Mathematical Formulas</t>
  </si>
  <si>
    <t>2. Logical Formulas</t>
  </si>
  <si>
    <t>3. Statistical Formulas</t>
  </si>
  <si>
    <t>4. Text Functions</t>
  </si>
  <si>
    <t>5. Lookup Functions (Very Important)</t>
  </si>
  <si>
    <t>6. Date &amp; Time Functions</t>
  </si>
  <si>
    <t>8. Useful Conditional Formulas</t>
  </si>
  <si>
    <t xml:space="preserve"> =IF(A1&gt;50,"Pass","Fail") → Condition check</t>
  </si>
  <si>
    <t>Function</t>
  </si>
  <si>
    <t>Example</t>
  </si>
  <si>
    <t>Result</t>
  </si>
  <si>
    <t>Microsoft</t>
  </si>
  <si>
    <t>Mic</t>
  </si>
  <si>
    <t>soft</t>
  </si>
  <si>
    <t>icros</t>
  </si>
  <si>
    <t>Excel</t>
  </si>
  <si>
    <t>John, Smith</t>
  </si>
  <si>
    <t>JohnSmith</t>
  </si>
  <si>
    <t>excel</t>
  </si>
  <si>
    <t>EXCEL</t>
  </si>
  <si>
    <t>john smith</t>
  </si>
  <si>
    <t>John Smith</t>
  </si>
  <si>
    <t>" John Smith "</t>
  </si>
  <si>
    <t>Banana</t>
  </si>
  <si>
    <t>BANANA</t>
  </si>
  <si>
    <t>MXYZsoft</t>
  </si>
  <si>
    <t>Apple Pie</t>
  </si>
  <si>
    <t>Replace "Apple" with "Orange"</t>
  </si>
  <si>
    <t>Date</t>
  </si>
  <si>
    <t>=LEFT(A1,3)      Returns the first 3 characters</t>
  </si>
  <si>
    <t>=RIGHT(A1,4)      Returns the last 4 characters</t>
  </si>
  <si>
    <t>=MID(A1,2,5)      Extracts text from the middle</t>
  </si>
  <si>
    <t>=LEN(A1)      Counts the number of characters</t>
  </si>
  <si>
    <t>=CONCAT(A1,B1)      Joins two or more text strings</t>
  </si>
  <si>
    <t>=UPPER(A1)      Converts text to uppercase</t>
  </si>
  <si>
    <t>=LOWER(A1)      Converts text to lowercase</t>
  </si>
  <si>
    <t>=PROPER(A1)      Capitalizes the first letter of each word</t>
  </si>
  <si>
    <t>=TRIM(A1)      Removes extra spaces</t>
  </si>
  <si>
    <t>=FIND("a",A1)      Finds the position of a character (case-sensitive)</t>
  </si>
  <si>
    <t>=SEARCH("a",A1)      Finds the position of a character (case-insensitive)</t>
  </si>
  <si>
    <t>=REPLACE(A1,2,3,"XYZ")      Replaces characters by position</t>
  </si>
  <si>
    <t>=SUBSTITUTE(A1,"old","new")      Replaces specific text</t>
  </si>
  <si>
    <t>=TEXT(A1,"dd/mm/yyyy")      Formats dates or numbers as text</t>
  </si>
  <si>
    <t>=SUM(A1:A10) → Adds all values</t>
  </si>
  <si>
    <t>=AVERAGE(A1:A10) → Finds mean</t>
  </si>
  <si>
    <t>=MAX(A1:A10) → Largest value</t>
  </si>
  <si>
    <t>=MIN(A1:A10) → Smallest value</t>
  </si>
  <si>
    <t>=COUNT(A1:A10) → Counts numbers</t>
  </si>
  <si>
    <t>=COUNTA(A1:A10) → Counts non-empty cells</t>
  </si>
  <si>
    <t>=AND(A1&gt;50,B1&lt;100) → TRUE if all conditions are true</t>
  </si>
  <si>
    <t>=OR(A1&gt;50,B1&lt;100) → TRUE if any condition is true</t>
  </si>
  <si>
    <t>=NOT(A1&gt;50) → Reverses condition</t>
  </si>
  <si>
    <t>=MEDIAN(A1:A10) → Middle value</t>
  </si>
  <si>
    <t>=MODE(A1:A10) → Most frequent value</t>
  </si>
  <si>
    <t>=STDEV.S(A1:A10) → Sample standard deviation</t>
  </si>
  <si>
    <t>=VAR.S(A1:A10) → Sample variance</t>
  </si>
  <si>
    <t>=VLOOKUP(A1,B1:D10,2,FALSE) → Vertical search</t>
  </si>
  <si>
    <t>=HLOOKUP(A1,B1:D10,2,FALSE) → Horizontal search</t>
  </si>
  <si>
    <t>=TODAY() → Current date</t>
  </si>
  <si>
    <t>=NOW() → Current date &amp; time</t>
  </si>
  <si>
    <t>=DATE(2026,1,1) → Create date</t>
  </si>
  <si>
    <t>=YEAR(A1) → Extract year</t>
  </si>
  <si>
    <t>=MONTH(A1) → Extract month</t>
  </si>
  <si>
    <t>=DAY(A1) → Extract day</t>
  </si>
  <si>
    <t>=SUMIF(A1:A10,"&gt;50") → Sum with condition</t>
  </si>
  <si>
    <t>=COUNTIF(A1:A10,"&gt;50") → Count with condition</t>
  </si>
  <si>
    <t>=XLOOKUP(A1,B1:B10,C1:C10) → Modern lookup (new Excel)</t>
  </si>
  <si>
    <t>Values</t>
  </si>
  <si>
    <t>Useful Utilities</t>
  </si>
  <si>
    <r>
      <t>=TEXT(A1,"dd-mm-yyyy")</t>
    </r>
    <r>
      <rPr>
        <sz val="11"/>
        <color theme="1"/>
        <rFont val="Candara"/>
        <family val="2"/>
      </rPr>
      <t xml:space="preserve"> → Format date as text</t>
    </r>
  </si>
  <si>
    <r>
      <t>=WEEKDAY(A1)</t>
    </r>
    <r>
      <rPr>
        <sz val="11"/>
        <color theme="1"/>
        <rFont val="Candara"/>
        <family val="2"/>
      </rPr>
      <t xml:space="preserve"> → Returns day of week number</t>
    </r>
  </si>
  <si>
    <r>
      <t>=HOUR(A1)</t>
    </r>
    <r>
      <rPr>
        <sz val="11"/>
        <color theme="1"/>
        <rFont val="Calibri"/>
        <family val="2"/>
        <scheme val="minor"/>
      </rPr>
      <t xml:space="preserve"> → Extracts hour (from time)</t>
    </r>
  </si>
  <si>
    <r>
      <t>=MINUTE(A1)</t>
    </r>
    <r>
      <rPr>
        <sz val="11"/>
        <color theme="1"/>
        <rFont val="Calibri"/>
        <family val="2"/>
        <scheme val="minor"/>
      </rPr>
      <t xml:space="preserve"> → Extracts minute</t>
    </r>
  </si>
  <si>
    <r>
      <t>=SECOND(A1)</t>
    </r>
    <r>
      <rPr>
        <sz val="11"/>
        <color theme="1"/>
        <rFont val="Calibri"/>
        <family val="2"/>
        <scheme val="minor"/>
      </rPr>
      <t xml:space="preserve"> → Extracts seconds</t>
    </r>
  </si>
  <si>
    <t>=TIME(10,30,0) → Creates a specific time</t>
  </si>
  <si>
    <r>
      <t>=COUNT(A1:A10)</t>
    </r>
    <r>
      <rPr>
        <sz val="11"/>
        <color theme="1"/>
        <rFont val="Calibri"/>
        <family val="2"/>
        <scheme val="minor"/>
      </rPr>
      <t xml:space="preserve"> → Counts cells with numbers only</t>
    </r>
  </si>
  <si>
    <r>
      <t>=COUNTA(A1:A10)</t>
    </r>
    <r>
      <rPr>
        <sz val="11"/>
        <color theme="1"/>
        <rFont val="Calibri"/>
        <family val="2"/>
        <scheme val="minor"/>
      </rPr>
      <t xml:space="preserve"> → Counts all non-empty cells (numbers, text, etc.)</t>
    </r>
  </si>
  <si>
    <r>
      <t>=COUNTBLANK(A1:A10)</t>
    </r>
    <r>
      <rPr>
        <sz val="11"/>
        <color theme="1"/>
        <rFont val="Calibri"/>
        <family val="2"/>
        <scheme val="minor"/>
      </rPr>
      <t xml:space="preserve"> → Counts empty cells</t>
    </r>
  </si>
  <si>
    <r>
      <t>=COUNTIF(A1:A10,"&gt;10")</t>
    </r>
    <r>
      <rPr>
        <sz val="11"/>
        <color theme="1"/>
        <rFont val="Calibri"/>
        <family val="2"/>
        <scheme val="minor"/>
      </rPr>
      <t xml:space="preserve"> → Counts cells that meet one condition</t>
    </r>
  </si>
  <si>
    <r>
      <t>=COUNTIFS(A1:A10,"&gt;10",B1:B10,"Yes")</t>
    </r>
    <r>
      <rPr>
        <sz val="11"/>
        <color theme="1"/>
        <rFont val="Calibri"/>
        <family val="2"/>
        <scheme val="minor"/>
      </rPr>
      <t xml:space="preserve"> → Counts cells matching multiple conditions</t>
    </r>
  </si>
  <si>
    <t>Basic COUNT Functions</t>
  </si>
  <si>
    <t>Conditional Counting</t>
  </si>
  <si>
    <r>
      <t>=SUM(A1:A10)</t>
    </r>
    <r>
      <rPr>
        <sz val="11"/>
        <color theme="1"/>
        <rFont val="Calibri"/>
        <family val="2"/>
        <scheme val="minor"/>
      </rPr>
      <t xml:space="preserve"> → Adds all numbers in a range</t>
    </r>
  </si>
  <si>
    <t>🎯 Conditional SUM</t>
  </si>
  <si>
    <r>
      <t>=SUMIF(A1:A10,"&gt;10")</t>
    </r>
    <r>
      <rPr>
        <sz val="11"/>
        <color theme="1"/>
        <rFont val="Calibri"/>
        <family val="2"/>
        <scheme val="minor"/>
      </rPr>
      <t xml:space="preserve"> → Adds values that meet one condition</t>
    </r>
  </si>
  <si>
    <r>
      <t>=SUMIF(A1:A10,"&gt;10",B1:B10)</t>
    </r>
    <r>
      <rPr>
        <sz val="11"/>
        <color theme="1"/>
        <rFont val="Calibri"/>
        <family val="2"/>
        <scheme val="minor"/>
      </rPr>
      <t xml:space="preserve"> → Sums corresponding values in another range</t>
    </r>
  </si>
  <si>
    <r>
      <t>=SUMIFS(B1:B10,A1:A10,"&gt;10",C1:C10,"Yes")</t>
    </r>
    <r>
      <rPr>
        <sz val="11"/>
        <color theme="1"/>
        <rFont val="Calibri"/>
        <family val="2"/>
        <scheme val="minor"/>
      </rPr>
      <t xml:space="preserve"> → Sums based on multiple conditions</t>
    </r>
  </si>
  <si>
    <t xml:space="preserve">  '=COUNTBLANK(C46:D46) → Count Empty Cells</t>
  </si>
  <si>
    <t>=COUNTIA(A1:A10) → Count Non Empty Cells</t>
  </si>
  <si>
    <t>=SUMIFS(A1:A10,"&gt;50") → Sum with condition</t>
  </si>
  <si>
    <t>Rajesh</t>
  </si>
  <si>
    <t>sunil</t>
  </si>
  <si>
    <t>sanjay</t>
  </si>
  <si>
    <t>rakesh</t>
  </si>
  <si>
    <t>ompraksh</t>
  </si>
  <si>
    <t>vidhya</t>
  </si>
  <si>
    <t>priyanka</t>
  </si>
  <si>
    <t>Marks</t>
  </si>
  <si>
    <t>Student Name</t>
  </si>
  <si>
    <t>ved</t>
  </si>
  <si>
    <t>nilesh</t>
  </si>
  <si>
    <t>SUM</t>
  </si>
  <si>
    <r>
      <t xml:space="preserve">SUM SHORCUT </t>
    </r>
    <r>
      <rPr>
        <b/>
        <sz val="14"/>
        <color rgb="FFFF0000"/>
        <rFont val="Calibri"/>
        <family val="2"/>
        <scheme val="minor"/>
      </rPr>
      <t>ALT =</t>
    </r>
  </si>
  <si>
    <t>AVERATE</t>
  </si>
  <si>
    <t>MEAN</t>
  </si>
  <si>
    <t>MAX</t>
  </si>
  <si>
    <t>MIN</t>
  </si>
  <si>
    <t>count on Number</t>
  </si>
  <si>
    <t>count on text</t>
  </si>
  <si>
    <t>MEDIAN</t>
  </si>
  <si>
    <t>STD</t>
  </si>
  <si>
    <t>VAR</t>
  </si>
  <si>
    <t>3-July</t>
  </si>
  <si>
    <t>to get inside the cell  F2</t>
  </si>
  <si>
    <t>Region</t>
  </si>
  <si>
    <t>Dept</t>
  </si>
  <si>
    <t>East</t>
  </si>
  <si>
    <t>Sales</t>
  </si>
  <si>
    <t>IT</t>
  </si>
  <si>
    <t>HR</t>
  </si>
  <si>
    <t>North</t>
  </si>
  <si>
    <t>South</t>
  </si>
  <si>
    <t>West</t>
  </si>
  <si>
    <t>Grand Total</t>
  </si>
  <si>
    <t>Count of Sales</t>
  </si>
  <si>
    <t>count</t>
  </si>
  <si>
    <t>TOTAL</t>
  </si>
  <si>
    <t>=COUNTIF(Range,criteria)</t>
  </si>
  <si>
    <t>=COUNTIFS(cri_r1,cri1,cri_r2,cir2……………)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</si>
</sst>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10409]h\.mm\.ss\ AM/PM;@"/>
    <numFmt numFmtId="167" formatCode="_ * #,##0_ ;_ * \-#,##0_ ;_ 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ndara"/>
      <family val="2"/>
    </font>
    <font>
      <sz val="10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left" vertical="center" indent="1"/>
    </xf>
    <xf numFmtId="0" fontId="1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14" fontId="1" fillId="0" borderId="0" xfId="0" applyNumberFormat="1" applyFont="1"/>
    <xf numFmtId="22" fontId="1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164" fontId="1" fillId="0" borderId="0" xfId="0" applyNumberFormat="1" applyFont="1"/>
    <xf numFmtId="0" fontId="1" fillId="0" borderId="0" xfId="0" quotePrefix="1" applyFont="1"/>
    <xf numFmtId="16" fontId="1" fillId="0" borderId="0" xfId="0" applyNumberFormat="1" applyFont="1"/>
    <xf numFmtId="2" fontId="1" fillId="0" borderId="0" xfId="0" quotePrefix="1" applyNumberFormat="1" applyFont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pivotButton="1"/>
    <xf numFmtId="0" fontId="8" fillId="0" borderId="0" xfId="0" applyFont="1"/>
    <xf numFmtId="0" fontId="8" fillId="3" borderId="3" xfId="0" applyFont="1" applyFill="1" applyBorder="1"/>
    <xf numFmtId="0" fontId="0" fillId="0" borderId="0" xfId="0" applyNumberFormat="1"/>
    <xf numFmtId="0" fontId="8" fillId="3" borderId="2" xfId="0" applyFont="1" applyFill="1" applyBorder="1"/>
    <xf numFmtId="0" fontId="0" fillId="0" borderId="0" xfId="0" quotePrefix="1"/>
    <xf numFmtId="0" fontId="8" fillId="4" borderId="2" xfId="0" applyFont="1" applyFill="1" applyBorder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06.497360763889" createdVersion="6" refreshedVersion="6" minRefreshableVersion="3" recordCount="32">
  <cacheSource type="worksheet">
    <worksheetSource ref="A1:C33" sheet="Sheet2"/>
  </cacheSource>
  <cacheFields count="3">
    <cacheField name="Region" numFmtId="0">
      <sharedItems count="4">
        <s v="East"/>
        <s v="North"/>
        <s v="South"/>
        <s v="West"/>
      </sharedItems>
    </cacheField>
    <cacheField name="Dept" numFmtId="0">
      <sharedItems count="3">
        <s v="Sales"/>
        <s v="IT"/>
        <s v="HR"/>
      </sharedItems>
    </cacheField>
    <cacheField name="Sales" numFmtId="0">
      <sharedItems containsSemiMixedTypes="0" containsString="0" containsNumber="1" containsInteger="1" minValue="1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n v="21"/>
  </r>
  <r>
    <x v="0"/>
    <x v="1"/>
    <n v="51"/>
  </r>
  <r>
    <x v="0"/>
    <x v="2"/>
    <n v="60"/>
  </r>
  <r>
    <x v="1"/>
    <x v="1"/>
    <n v="41"/>
  </r>
  <r>
    <x v="1"/>
    <x v="2"/>
    <n v="69"/>
  </r>
  <r>
    <x v="1"/>
    <x v="0"/>
    <n v="76"/>
  </r>
  <r>
    <x v="2"/>
    <x v="0"/>
    <n v="100"/>
  </r>
  <r>
    <x v="2"/>
    <x v="1"/>
    <n v="78"/>
  </r>
  <r>
    <x v="2"/>
    <x v="2"/>
    <n v="56"/>
  </r>
  <r>
    <x v="3"/>
    <x v="2"/>
    <n v="12"/>
  </r>
  <r>
    <x v="3"/>
    <x v="0"/>
    <n v="22"/>
  </r>
  <r>
    <x v="3"/>
    <x v="1"/>
    <n v="60"/>
  </r>
  <r>
    <x v="0"/>
    <x v="0"/>
    <n v="49"/>
  </r>
  <r>
    <x v="0"/>
    <x v="1"/>
    <n v="30"/>
  </r>
  <r>
    <x v="0"/>
    <x v="2"/>
    <n v="82"/>
  </r>
  <r>
    <x v="1"/>
    <x v="1"/>
    <n v="31"/>
  </r>
  <r>
    <x v="1"/>
    <x v="2"/>
    <n v="23"/>
  </r>
  <r>
    <x v="1"/>
    <x v="0"/>
    <n v="44"/>
  </r>
  <r>
    <x v="2"/>
    <x v="0"/>
    <n v="51"/>
  </r>
  <r>
    <x v="2"/>
    <x v="1"/>
    <n v="80"/>
  </r>
  <r>
    <x v="2"/>
    <x v="2"/>
    <n v="40"/>
  </r>
  <r>
    <x v="3"/>
    <x v="2"/>
    <n v="36"/>
  </r>
  <r>
    <x v="3"/>
    <x v="0"/>
    <n v="52"/>
  </r>
  <r>
    <x v="3"/>
    <x v="1"/>
    <n v="35"/>
  </r>
  <r>
    <x v="1"/>
    <x v="2"/>
    <n v="56"/>
  </r>
  <r>
    <x v="1"/>
    <x v="0"/>
    <n v="74"/>
  </r>
  <r>
    <x v="2"/>
    <x v="0"/>
    <n v="42"/>
  </r>
  <r>
    <x v="2"/>
    <x v="1"/>
    <n v="84"/>
  </r>
  <r>
    <x v="2"/>
    <x v="2"/>
    <n v="48"/>
  </r>
  <r>
    <x v="3"/>
    <x v="2"/>
    <n v="33"/>
  </r>
  <r>
    <x v="3"/>
    <x v="0"/>
    <n v="61"/>
  </r>
  <r>
    <x v="3"/>
    <x v="1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1:G18" firstHeaderRow="1" firstDataRow="1" firstDataCol="2"/>
  <pivotFields count="3">
    <pivotField axis="axisRow" compact="0" outline="0" showAll="0" insertBlankRow="1" defaultSubtotal="0">
      <items count="4">
        <item x="0"/>
        <item x="1"/>
        <item x="2"/>
        <item x="3"/>
      </items>
    </pivotField>
    <pivotField axis="axisRow" compact="0" outline="0" showAll="0" insertBlankRow="1" defaultSubtotal="0">
      <items count="3">
        <item x="2"/>
        <item x="1"/>
        <item x="0"/>
      </items>
    </pivotField>
    <pivotField dataField="1" compact="0" outline="0" showAll="0" insertBlankRow="1" defaultSubtotal="0"/>
  </pivotFields>
  <rowFields count="2">
    <field x="0"/>
    <field x="1"/>
  </rowFields>
  <rowItems count="17">
    <i>
      <x/>
      <x/>
    </i>
    <i r="1">
      <x v="1"/>
    </i>
    <i r="1">
      <x v="2"/>
    </i>
    <i t="blank">
      <x/>
    </i>
    <i>
      <x v="1"/>
      <x/>
    </i>
    <i r="1">
      <x v="1"/>
    </i>
    <i r="1">
      <x v="2"/>
    </i>
    <i t="blank">
      <x v="1"/>
    </i>
    <i>
      <x v="2"/>
      <x/>
    </i>
    <i r="1">
      <x v="1"/>
    </i>
    <i r="1">
      <x v="2"/>
    </i>
    <i t="blank">
      <x v="2"/>
    </i>
    <i>
      <x v="3"/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Count of Sales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sqref="A1:A8"/>
    </sheetView>
  </sheetViews>
  <sheetFormatPr defaultRowHeight="14.4"/>
  <cols>
    <col min="1" max="1" width="61.6640625" style="1" bestFit="1" customWidth="1"/>
    <col min="2" max="2" width="13.21875" style="1" bestFit="1" customWidth="1"/>
    <col min="3" max="3" width="27.88671875" style="1" bestFit="1" customWidth="1"/>
    <col min="4" max="4" width="26.33203125" style="1" bestFit="1" customWidth="1"/>
    <col min="5" max="16384" width="8.88671875" style="1"/>
  </cols>
  <sheetData>
    <row r="1" spans="1:1">
      <c r="A1" s="5" t="s">
        <v>0</v>
      </c>
    </row>
    <row r="2" spans="1:1">
      <c r="A2" s="2"/>
    </row>
    <row r="3" spans="1:1">
      <c r="A3" s="2" t="s">
        <v>43</v>
      </c>
    </row>
    <row r="4" spans="1:1">
      <c r="A4" s="2" t="s">
        <v>44</v>
      </c>
    </row>
    <row r="5" spans="1:1">
      <c r="A5" s="2" t="s">
        <v>45</v>
      </c>
    </row>
    <row r="6" spans="1:1">
      <c r="A6" s="2" t="s">
        <v>46</v>
      </c>
    </row>
    <row r="7" spans="1:1">
      <c r="A7" s="2" t="s">
        <v>47</v>
      </c>
    </row>
    <row r="8" spans="1:1">
      <c r="A8" s="2" t="s">
        <v>48</v>
      </c>
    </row>
    <row r="12" spans="1:1">
      <c r="A12" s="5" t="s">
        <v>2</v>
      </c>
    </row>
    <row r="13" spans="1:1">
      <c r="A13" s="2"/>
    </row>
    <row r="14" spans="1:1">
      <c r="A14" s="2" t="s">
        <v>52</v>
      </c>
    </row>
    <row r="15" spans="1:1">
      <c r="A15" s="2" t="s">
        <v>53</v>
      </c>
    </row>
    <row r="16" spans="1:1">
      <c r="A16" s="2" t="s">
        <v>54</v>
      </c>
    </row>
    <row r="17" spans="1:1">
      <c r="A17" s="2" t="s">
        <v>55</v>
      </c>
    </row>
    <row r="21" spans="1:1">
      <c r="A21" s="5" t="s">
        <v>5</v>
      </c>
    </row>
    <row r="22" spans="1:1">
      <c r="A22" s="2"/>
    </row>
    <row r="23" spans="1:1">
      <c r="A23" s="2" t="s">
        <v>58</v>
      </c>
    </row>
    <row r="24" spans="1:1">
      <c r="A24" s="2" t="s">
        <v>59</v>
      </c>
    </row>
    <row r="25" spans="1:1">
      <c r="A25" s="2" t="s">
        <v>60</v>
      </c>
    </row>
    <row r="26" spans="1:1">
      <c r="A26" s="2" t="s">
        <v>61</v>
      </c>
    </row>
    <row r="27" spans="1:1">
      <c r="A27" s="2" t="s">
        <v>62</v>
      </c>
    </row>
    <row r="28" spans="1:1">
      <c r="A28" s="2" t="s">
        <v>63</v>
      </c>
    </row>
    <row r="33" spans="1:1">
      <c r="A33" s="5" t="s">
        <v>4</v>
      </c>
    </row>
    <row r="34" spans="1:1">
      <c r="A34" s="2"/>
    </row>
    <row r="35" spans="1:1">
      <c r="A35" s="2" t="s">
        <v>56</v>
      </c>
    </row>
    <row r="36" spans="1:1">
      <c r="A36" s="2" t="s">
        <v>57</v>
      </c>
    </row>
    <row r="37" spans="1:1">
      <c r="A37" s="7" t="s">
        <v>66</v>
      </c>
    </row>
    <row r="41" spans="1:1">
      <c r="A41" s="5" t="s">
        <v>6</v>
      </c>
    </row>
    <row r="42" spans="1:1">
      <c r="A42" s="2"/>
    </row>
    <row r="43" spans="1:1">
      <c r="A43" s="2" t="s">
        <v>64</v>
      </c>
    </row>
    <row r="44" spans="1:1">
      <c r="A44" s="7" t="s">
        <v>89</v>
      </c>
    </row>
    <row r="45" spans="1:1">
      <c r="A45" s="2" t="s">
        <v>65</v>
      </c>
    </row>
    <row r="46" spans="1:1">
      <c r="A46" s="7" t="s">
        <v>88</v>
      </c>
    </row>
    <row r="47" spans="1:1">
      <c r="A47" s="18" t="s">
        <v>87</v>
      </c>
    </row>
    <row r="50" spans="1:3">
      <c r="A50" s="5" t="s">
        <v>1</v>
      </c>
    </row>
    <row r="51" spans="1:3">
      <c r="A51" s="2"/>
    </row>
    <row r="52" spans="1:3">
      <c r="A52" s="7" t="s">
        <v>7</v>
      </c>
    </row>
    <row r="53" spans="1:3">
      <c r="A53" s="2" t="s">
        <v>49</v>
      </c>
    </row>
    <row r="54" spans="1:3">
      <c r="A54" s="2" t="s">
        <v>50</v>
      </c>
    </row>
    <row r="55" spans="1:3">
      <c r="A55" s="2" t="s">
        <v>51</v>
      </c>
    </row>
    <row r="59" spans="1:3">
      <c r="A59" s="5" t="s">
        <v>3</v>
      </c>
    </row>
    <row r="60" spans="1:3">
      <c r="A60" s="2"/>
    </row>
    <row r="61" spans="1:3">
      <c r="A61" s="3" t="s">
        <v>8</v>
      </c>
      <c r="B61" s="3" t="s">
        <v>9</v>
      </c>
      <c r="C61" s="3" t="s">
        <v>10</v>
      </c>
    </row>
    <row r="62" spans="1:3">
      <c r="A62" s="8" t="s">
        <v>29</v>
      </c>
      <c r="B62" s="4" t="s">
        <v>11</v>
      </c>
      <c r="C62" s="5" t="s">
        <v>12</v>
      </c>
    </row>
    <row r="63" spans="1:3">
      <c r="A63" s="8" t="s">
        <v>30</v>
      </c>
      <c r="B63" s="4" t="s">
        <v>11</v>
      </c>
      <c r="C63" s="5" t="s">
        <v>13</v>
      </c>
    </row>
    <row r="64" spans="1:3">
      <c r="A64" s="8" t="s">
        <v>31</v>
      </c>
      <c r="B64" s="4" t="s">
        <v>11</v>
      </c>
      <c r="C64" s="5" t="s">
        <v>14</v>
      </c>
    </row>
    <row r="65" spans="1:3">
      <c r="A65" s="8" t="s">
        <v>32</v>
      </c>
      <c r="B65" s="4" t="s">
        <v>15</v>
      </c>
      <c r="C65" s="5">
        <v>5</v>
      </c>
    </row>
    <row r="66" spans="1:3">
      <c r="A66" s="8" t="s">
        <v>33</v>
      </c>
      <c r="B66" s="4" t="s">
        <v>16</v>
      </c>
      <c r="C66" s="5" t="s">
        <v>17</v>
      </c>
    </row>
    <row r="67" spans="1:3">
      <c r="A67" s="8" t="s">
        <v>34</v>
      </c>
      <c r="B67" s="4" t="s">
        <v>18</v>
      </c>
      <c r="C67" s="5" t="s">
        <v>19</v>
      </c>
    </row>
    <row r="68" spans="1:3">
      <c r="A68" s="8" t="s">
        <v>35</v>
      </c>
      <c r="B68" s="4" t="s">
        <v>19</v>
      </c>
      <c r="C68" s="5" t="s">
        <v>18</v>
      </c>
    </row>
    <row r="69" spans="1:3">
      <c r="A69" s="8" t="s">
        <v>36</v>
      </c>
      <c r="B69" s="4" t="s">
        <v>20</v>
      </c>
      <c r="C69" s="5" t="s">
        <v>21</v>
      </c>
    </row>
    <row r="70" spans="1:3">
      <c r="A70" s="8" t="s">
        <v>37</v>
      </c>
      <c r="B70" s="4" t="s">
        <v>22</v>
      </c>
      <c r="C70" s="5" t="s">
        <v>21</v>
      </c>
    </row>
    <row r="71" spans="1:3">
      <c r="A71" s="8" t="s">
        <v>38</v>
      </c>
      <c r="B71" s="4" t="s">
        <v>23</v>
      </c>
      <c r="C71" s="5">
        <v>2</v>
      </c>
    </row>
    <row r="72" spans="1:3">
      <c r="A72" s="8" t="s">
        <v>39</v>
      </c>
      <c r="B72" s="4" t="s">
        <v>24</v>
      </c>
      <c r="C72" s="5">
        <v>2</v>
      </c>
    </row>
    <row r="73" spans="1:3">
      <c r="A73" s="8" t="s">
        <v>40</v>
      </c>
      <c r="B73" s="4" t="s">
        <v>11</v>
      </c>
      <c r="C73" s="5" t="s">
        <v>25</v>
      </c>
    </row>
    <row r="74" spans="1:3">
      <c r="A74" s="8" t="s">
        <v>41</v>
      </c>
      <c r="B74" s="4" t="s">
        <v>26</v>
      </c>
      <c r="C74" s="4" t="s">
        <v>27</v>
      </c>
    </row>
    <row r="75" spans="1:3">
      <c r="A75" s="8" t="s">
        <v>42</v>
      </c>
      <c r="B75" s="4" t="s">
        <v>28</v>
      </c>
      <c r="C75" s="6">
        <v>46016</v>
      </c>
    </row>
    <row r="76" spans="1:3">
      <c r="A7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5" sqref="D5"/>
    </sheetView>
  </sheetViews>
  <sheetFormatPr defaultRowHeight="14.4"/>
  <cols>
    <col min="1" max="1" width="40.88671875" bestFit="1" customWidth="1"/>
    <col min="2" max="2" width="16.44140625" customWidth="1"/>
    <col min="3" max="3" width="26.33203125" customWidth="1"/>
    <col min="4" max="4" width="6.33203125" bestFit="1" customWidth="1"/>
    <col min="5" max="5" width="12.21875" bestFit="1" customWidth="1"/>
    <col min="6" max="6" width="4" bestFit="1" customWidth="1"/>
    <col min="7" max="7" width="15.33203125" bestFit="1" customWidth="1"/>
    <col min="8" max="8" width="10.88671875" bestFit="1" customWidth="1"/>
  </cols>
  <sheetData>
    <row r="1" spans="1:9">
      <c r="A1" s="5" t="s">
        <v>0</v>
      </c>
      <c r="B1" s="5"/>
      <c r="C1" s="5" t="s">
        <v>98</v>
      </c>
      <c r="D1" t="s">
        <v>97</v>
      </c>
      <c r="G1" t="s">
        <v>101</v>
      </c>
      <c r="H1">
        <f>SUM(D2:D10)</f>
        <v>1415</v>
      </c>
    </row>
    <row r="2" spans="1:9">
      <c r="A2" s="2"/>
      <c r="B2" s="2"/>
      <c r="C2" s="2" t="s">
        <v>90</v>
      </c>
      <c r="D2">
        <v>1000</v>
      </c>
      <c r="G2" t="s">
        <v>103</v>
      </c>
      <c r="H2">
        <f>AVERAGE(D2:D10)</f>
        <v>157.22222222222223</v>
      </c>
      <c r="I2" t="s">
        <v>104</v>
      </c>
    </row>
    <row r="3" spans="1:9">
      <c r="A3" s="2" t="s">
        <v>43</v>
      </c>
      <c r="B3" s="2"/>
      <c r="C3" s="2" t="s">
        <v>91</v>
      </c>
      <c r="D3">
        <v>52</v>
      </c>
      <c r="G3" t="s">
        <v>105</v>
      </c>
      <c r="H3">
        <f>MAX(D2:D10)</f>
        <v>1000</v>
      </c>
    </row>
    <row r="4" spans="1:9">
      <c r="A4" s="2" t="s">
        <v>44</v>
      </c>
      <c r="B4" s="2"/>
      <c r="C4" s="2" t="s">
        <v>92</v>
      </c>
      <c r="D4">
        <v>76</v>
      </c>
      <c r="G4" t="s">
        <v>106</v>
      </c>
      <c r="H4">
        <f>MIN(D2:D10)</f>
        <v>12</v>
      </c>
    </row>
    <row r="5" spans="1:9">
      <c r="A5" s="2" t="s">
        <v>45</v>
      </c>
      <c r="B5" s="2"/>
      <c r="C5" s="2" t="s">
        <v>93</v>
      </c>
      <c r="D5">
        <v>91</v>
      </c>
      <c r="G5" t="s">
        <v>107</v>
      </c>
      <c r="H5">
        <f>COUNTA(D2:D10)</f>
        <v>9</v>
      </c>
    </row>
    <row r="6" spans="1:9">
      <c r="A6" s="2" t="s">
        <v>46</v>
      </c>
      <c r="B6" s="2"/>
      <c r="C6" s="2" t="s">
        <v>94</v>
      </c>
      <c r="D6">
        <v>19</v>
      </c>
      <c r="G6" t="s">
        <v>108</v>
      </c>
      <c r="H6">
        <f>COUNTA(C2:C10)</f>
        <v>9</v>
      </c>
    </row>
    <row r="7" spans="1:9">
      <c r="A7" s="2" t="s">
        <v>47</v>
      </c>
      <c r="B7" s="2"/>
      <c r="C7" s="2" t="s">
        <v>95</v>
      </c>
      <c r="D7">
        <v>12</v>
      </c>
      <c r="H7">
        <f>COUNTA(D2:D10)</f>
        <v>9</v>
      </c>
    </row>
    <row r="8" spans="1:9">
      <c r="A8" s="2" t="s">
        <v>48</v>
      </c>
      <c r="B8" s="2"/>
      <c r="C8" s="2" t="s">
        <v>96</v>
      </c>
      <c r="D8">
        <v>45</v>
      </c>
    </row>
    <row r="9" spans="1:9">
      <c r="C9" s="2" t="s">
        <v>99</v>
      </c>
      <c r="D9">
        <v>65</v>
      </c>
    </row>
    <row r="10" spans="1:9">
      <c r="C10" s="2" t="s">
        <v>100</v>
      </c>
      <c r="D10">
        <v>55</v>
      </c>
    </row>
    <row r="11" spans="1:9">
      <c r="D11">
        <f>SUM(D2:D10)</f>
        <v>1415</v>
      </c>
    </row>
    <row r="14" spans="1:9" ht="18">
      <c r="C14" t="s">
        <v>102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G4" sqref="G4"/>
    </sheetView>
  </sheetViews>
  <sheetFormatPr defaultRowHeight="14.4"/>
  <cols>
    <col min="1" max="1" width="43.44140625" bestFit="1" customWidth="1"/>
  </cols>
  <sheetData>
    <row r="1" spans="1:14">
      <c r="A1" s="5" t="s">
        <v>2</v>
      </c>
      <c r="D1" t="s">
        <v>67</v>
      </c>
    </row>
    <row r="2" spans="1:14">
      <c r="A2" s="2"/>
      <c r="D2">
        <v>1</v>
      </c>
      <c r="F2" t="s">
        <v>109</v>
      </c>
      <c r="G2">
        <f>MEDIAN(D2:D14)</f>
        <v>7</v>
      </c>
      <c r="K2">
        <f>MEDIAN(D2:D14)</f>
        <v>7</v>
      </c>
    </row>
    <row r="3" spans="1:14">
      <c r="A3" s="2" t="s">
        <v>52</v>
      </c>
      <c r="D3">
        <f>D2+1</f>
        <v>2</v>
      </c>
      <c r="F3" t="s">
        <v>110</v>
      </c>
      <c r="G3">
        <f>_xlfn.STDEV.S(D2:D14)</f>
        <v>3.8944404818493075</v>
      </c>
      <c r="K3">
        <f>_xlfn.STDEV.S(D2:D14)</f>
        <v>3.8944404818493075</v>
      </c>
      <c r="N3" t="e">
        <f>mo</f>
        <v>#NAME?</v>
      </c>
    </row>
    <row r="4" spans="1:14">
      <c r="A4" s="2" t="s">
        <v>55</v>
      </c>
      <c r="D4">
        <f t="shared" ref="D4:D14" si="0">D3+1</f>
        <v>3</v>
      </c>
      <c r="F4" t="s">
        <v>111</v>
      </c>
      <c r="G4">
        <f>_xlfn.VAR.S(D2:D14)</f>
        <v>15.166666666666666</v>
      </c>
      <c r="K4">
        <f>_xlfn.VAR.S(D2:D14)</f>
        <v>15.166666666666666</v>
      </c>
    </row>
    <row r="5" spans="1:14">
      <c r="A5" s="2" t="s">
        <v>54</v>
      </c>
      <c r="D5">
        <f t="shared" si="0"/>
        <v>4</v>
      </c>
    </row>
    <row r="6" spans="1:14">
      <c r="D6">
        <f t="shared" si="0"/>
        <v>5</v>
      </c>
    </row>
    <row r="7" spans="1:14">
      <c r="D7">
        <f t="shared" si="0"/>
        <v>6</v>
      </c>
    </row>
    <row r="8" spans="1:14">
      <c r="D8">
        <f t="shared" si="0"/>
        <v>7</v>
      </c>
    </row>
    <row r="9" spans="1:14">
      <c r="D9">
        <f t="shared" si="0"/>
        <v>8</v>
      </c>
    </row>
    <row r="10" spans="1:14">
      <c r="D10">
        <f t="shared" si="0"/>
        <v>9</v>
      </c>
    </row>
    <row r="11" spans="1:14">
      <c r="D11">
        <f t="shared" si="0"/>
        <v>10</v>
      </c>
    </row>
    <row r="12" spans="1:14">
      <c r="D12">
        <f t="shared" si="0"/>
        <v>11</v>
      </c>
    </row>
    <row r="13" spans="1:14">
      <c r="D13">
        <f t="shared" si="0"/>
        <v>12</v>
      </c>
    </row>
    <row r="14" spans="1:14">
      <c r="D14">
        <f t="shared" si="0"/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93" workbookViewId="0">
      <selection activeCell="B4" sqref="B4"/>
    </sheetView>
  </sheetViews>
  <sheetFormatPr defaultRowHeight="14.4"/>
  <cols>
    <col min="1" max="1" width="68.77734375" style="1" bestFit="1" customWidth="1"/>
    <col min="2" max="2" width="14.88671875" style="1" bestFit="1" customWidth="1"/>
    <col min="3" max="3" width="15.5546875" style="1" customWidth="1"/>
    <col min="4" max="5" width="9" style="1" bestFit="1" customWidth="1"/>
    <col min="6" max="16384" width="8.88671875" style="1"/>
  </cols>
  <sheetData>
    <row r="1" spans="1:5">
      <c r="A1" s="5" t="s">
        <v>5</v>
      </c>
      <c r="D1" s="1" t="s">
        <v>113</v>
      </c>
    </row>
    <row r="2" spans="1:5">
      <c r="A2" s="2"/>
    </row>
    <row r="3" spans="1:5">
      <c r="A3" s="2" t="s">
        <v>58</v>
      </c>
      <c r="B3" s="13">
        <f ca="1">TODAY()</f>
        <v>46206</v>
      </c>
    </row>
    <row r="4" spans="1:5">
      <c r="A4" s="2" t="s">
        <v>59</v>
      </c>
      <c r="B4" s="14">
        <f ca="1">NOW()</f>
        <v>46206.508664236113</v>
      </c>
    </row>
    <row r="5" spans="1:5">
      <c r="A5" s="2" t="s">
        <v>60</v>
      </c>
      <c r="B5" s="13">
        <f>DATE(C5,D5,E5)</f>
        <v>46023</v>
      </c>
      <c r="C5" s="1">
        <v>2026</v>
      </c>
      <c r="D5" s="1">
        <v>1</v>
      </c>
      <c r="E5" s="1">
        <v>1</v>
      </c>
    </row>
    <row r="6" spans="1:5">
      <c r="A6" s="2" t="s">
        <v>61</v>
      </c>
      <c r="B6" s="1">
        <f>YEAR(C6)</f>
        <v>2026</v>
      </c>
      <c r="C6" s="19">
        <v>46206</v>
      </c>
      <c r="D6" s="20" t="s">
        <v>112</v>
      </c>
    </row>
    <row r="7" spans="1:5">
      <c r="A7" s="2" t="s">
        <v>62</v>
      </c>
      <c r="B7" s="1">
        <f>MONTH(C7)</f>
        <v>7</v>
      </c>
      <c r="C7" s="19">
        <v>46206</v>
      </c>
    </row>
    <row r="8" spans="1:5">
      <c r="A8" s="2" t="s">
        <v>63</v>
      </c>
      <c r="B8" s="1">
        <f>DAY(C8)</f>
        <v>3</v>
      </c>
      <c r="C8" s="19">
        <v>46206</v>
      </c>
    </row>
    <row r="11" spans="1:5" ht="18">
      <c r="A11" s="15" t="s">
        <v>68</v>
      </c>
    </row>
    <row r="12" spans="1:5">
      <c r="A12" s="2"/>
    </row>
    <row r="13" spans="1:5">
      <c r="A13" s="16" t="s">
        <v>69</v>
      </c>
      <c r="B13" s="1" t="str">
        <f>TEXT(C13,"ddd")</f>
        <v>Fri</v>
      </c>
      <c r="C13" s="19">
        <v>46206</v>
      </c>
    </row>
    <row r="14" spans="1:5">
      <c r="A14" s="16" t="s">
        <v>70</v>
      </c>
      <c r="B14" s="1">
        <f>WEEKDAY(C14)</f>
        <v>6</v>
      </c>
      <c r="C14" s="19">
        <v>46206</v>
      </c>
    </row>
    <row r="15" spans="1:5">
      <c r="B15" s="13"/>
    </row>
    <row r="18" spans="1:6">
      <c r="B18" s="1">
        <f ca="1">HOUR(C18)</f>
        <v>12</v>
      </c>
      <c r="C18" s="14">
        <f ca="1">NOW()</f>
        <v>46206.508664236113</v>
      </c>
    </row>
    <row r="19" spans="1:6">
      <c r="A19" s="11" t="s">
        <v>71</v>
      </c>
      <c r="B19" s="1">
        <f ca="1">MINUTE(C19)</f>
        <v>12</v>
      </c>
      <c r="C19" s="14">
        <f ca="1">NOW()</f>
        <v>46206.508664236113</v>
      </c>
    </row>
    <row r="20" spans="1:6">
      <c r="A20" s="11" t="s">
        <v>72</v>
      </c>
      <c r="B20" s="1">
        <f ca="1">SECOND(C20)</f>
        <v>29</v>
      </c>
      <c r="C20" s="14">
        <f ca="1">NOW()</f>
        <v>46206.508664236113</v>
      </c>
    </row>
    <row r="21" spans="1:6">
      <c r="A21" s="11" t="s">
        <v>73</v>
      </c>
    </row>
    <row r="22" spans="1:6">
      <c r="A22" s="18" t="s">
        <v>74</v>
      </c>
      <c r="B22" s="17">
        <f>TIME(D22,E22,F22)</f>
        <v>0.43755787037037036</v>
      </c>
      <c r="D22" s="1">
        <v>10</v>
      </c>
      <c r="E22" s="1">
        <v>30</v>
      </c>
      <c r="F22" s="1">
        <v>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C8" sqref="C8"/>
    </sheetView>
  </sheetViews>
  <sheetFormatPr defaultRowHeight="14.4"/>
  <cols>
    <col min="1" max="1" width="74.109375" bestFit="1" customWidth="1"/>
  </cols>
  <sheetData>
    <row r="1" spans="1:1" ht="18">
      <c r="A1" s="9" t="s">
        <v>80</v>
      </c>
    </row>
    <row r="2" spans="1:1">
      <c r="A2" s="10"/>
    </row>
    <row r="3" spans="1:1">
      <c r="A3" s="12" t="s">
        <v>75</v>
      </c>
    </row>
    <row r="4" spans="1:1">
      <c r="A4" s="12" t="s">
        <v>76</v>
      </c>
    </row>
    <row r="5" spans="1:1">
      <c r="A5" s="12" t="s">
        <v>77</v>
      </c>
    </row>
    <row r="7" spans="1:1" ht="18">
      <c r="A7" s="9" t="s">
        <v>81</v>
      </c>
    </row>
    <row r="8" spans="1:1">
      <c r="A8" s="10"/>
    </row>
    <row r="9" spans="1:1">
      <c r="A9" s="12" t="s">
        <v>78</v>
      </c>
    </row>
    <row r="10" spans="1:1">
      <c r="A10" s="1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defaultRowHeight="14.4"/>
  <cols>
    <col min="1" max="1" width="73.109375" bestFit="1" customWidth="1"/>
  </cols>
  <sheetData>
    <row r="1" spans="1:1">
      <c r="A1" s="12" t="s">
        <v>82</v>
      </c>
    </row>
    <row r="3" spans="1:1" ht="18">
      <c r="A3" s="9" t="s">
        <v>83</v>
      </c>
    </row>
    <row r="4" spans="1:1">
      <c r="A4" s="10"/>
    </row>
    <row r="5" spans="1:1">
      <c r="A5" s="12" t="s">
        <v>84</v>
      </c>
    </row>
    <row r="6" spans="1:1">
      <c r="A6" s="12" t="s">
        <v>85</v>
      </c>
    </row>
    <row r="7" spans="1:1">
      <c r="A7" s="1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tabSelected="1" topLeftCell="A5" zoomScale="98" workbookViewId="0">
      <selection sqref="A1:C33"/>
    </sheetView>
  </sheetViews>
  <sheetFormatPr defaultRowHeight="14.4"/>
  <cols>
    <col min="5" max="5" width="10.77734375" customWidth="1"/>
    <col min="6" max="6" width="7.33203125" customWidth="1"/>
    <col min="7" max="7" width="13.33203125" bestFit="1" customWidth="1"/>
    <col min="8" max="15" width="13.109375" customWidth="1"/>
    <col min="20" max="20" width="13.44140625" customWidth="1"/>
  </cols>
  <sheetData>
    <row r="1" spans="1:20">
      <c r="A1" s="21" t="s">
        <v>114</v>
      </c>
      <c r="B1" s="21" t="s">
        <v>115</v>
      </c>
      <c r="C1" s="21" t="s">
        <v>117</v>
      </c>
      <c r="E1" s="23" t="s">
        <v>114</v>
      </c>
      <c r="F1" s="23" t="s">
        <v>115</v>
      </c>
      <c r="G1" t="s">
        <v>124</v>
      </c>
      <c r="I1" s="29" t="s">
        <v>114</v>
      </c>
      <c r="J1" s="29" t="s">
        <v>115</v>
      </c>
      <c r="P1" s="27" t="s">
        <v>114</v>
      </c>
      <c r="Q1" s="27" t="s">
        <v>125</v>
      </c>
    </row>
    <row r="2" spans="1:20">
      <c r="A2" s="22" t="s">
        <v>116</v>
      </c>
      <c r="B2" s="22" t="s">
        <v>117</v>
      </c>
      <c r="C2">
        <v>21</v>
      </c>
      <c r="E2" t="s">
        <v>116</v>
      </c>
      <c r="F2" t="s">
        <v>119</v>
      </c>
      <c r="G2" s="26">
        <v>2</v>
      </c>
      <c r="I2" s="24" t="s">
        <v>116</v>
      </c>
      <c r="J2" t="s">
        <v>119</v>
      </c>
      <c r="K2" s="30">
        <f>COUNTIFS($A$2:$A$33,I2,$B$2:$B$33,J2)</f>
        <v>2</v>
      </c>
      <c r="M2" s="28" t="s">
        <v>128</v>
      </c>
      <c r="P2" t="s">
        <v>120</v>
      </c>
      <c r="Q2" s="26">
        <f>COUNTIF($A$2:$A$33,P2)</f>
        <v>8</v>
      </c>
      <c r="T2" s="28" t="s">
        <v>127</v>
      </c>
    </row>
    <row r="3" spans="1:20">
      <c r="A3" s="22" t="s">
        <v>116</v>
      </c>
      <c r="B3" s="22" t="s">
        <v>118</v>
      </c>
      <c r="C3">
        <v>51</v>
      </c>
      <c r="F3" t="s">
        <v>118</v>
      </c>
      <c r="G3" s="26">
        <v>2</v>
      </c>
      <c r="I3" s="24" t="s">
        <v>116</v>
      </c>
      <c r="J3" t="s">
        <v>118</v>
      </c>
      <c r="K3" s="30">
        <f t="shared" ref="K3:K17" si="0">COUNTIFS($A$2:$A$33,I3,$B$2:$B$33,J3)</f>
        <v>2</v>
      </c>
      <c r="P3" t="s">
        <v>121</v>
      </c>
      <c r="Q3" s="26">
        <f t="shared" ref="Q3:Q5" si="1">COUNTIF($A$2:$A$33,P3)</f>
        <v>9</v>
      </c>
    </row>
    <row r="4" spans="1:20">
      <c r="A4" s="22" t="s">
        <v>116</v>
      </c>
      <c r="B4" s="22" t="s">
        <v>119</v>
      </c>
      <c r="C4">
        <v>60</v>
      </c>
      <c r="F4" t="s">
        <v>117</v>
      </c>
      <c r="G4" s="26">
        <v>2</v>
      </c>
      <c r="I4" s="24" t="s">
        <v>116</v>
      </c>
      <c r="J4" t="s">
        <v>117</v>
      </c>
      <c r="K4" s="30">
        <f t="shared" si="0"/>
        <v>2</v>
      </c>
      <c r="P4" t="s">
        <v>122</v>
      </c>
      <c r="Q4" s="26">
        <f t="shared" si="1"/>
        <v>9</v>
      </c>
    </row>
    <row r="5" spans="1:20">
      <c r="A5" s="22" t="s">
        <v>120</v>
      </c>
      <c r="B5" s="22" t="s">
        <v>118</v>
      </c>
      <c r="C5">
        <v>41</v>
      </c>
      <c r="G5" s="26"/>
      <c r="K5" s="30">
        <f t="shared" si="0"/>
        <v>0</v>
      </c>
      <c r="P5" t="s">
        <v>116</v>
      </c>
      <c r="Q5" s="26">
        <f t="shared" si="1"/>
        <v>6</v>
      </c>
    </row>
    <row r="6" spans="1:20">
      <c r="A6" s="22" t="s">
        <v>120</v>
      </c>
      <c r="B6" s="22" t="s">
        <v>119</v>
      </c>
      <c r="C6">
        <v>69</v>
      </c>
      <c r="E6" t="s">
        <v>120</v>
      </c>
      <c r="F6" t="s">
        <v>119</v>
      </c>
      <c r="G6" s="26">
        <v>3</v>
      </c>
      <c r="I6" s="24" t="s">
        <v>120</v>
      </c>
      <c r="J6" t="s">
        <v>119</v>
      </c>
      <c r="K6" s="30">
        <f t="shared" si="0"/>
        <v>3</v>
      </c>
      <c r="P6" t="s">
        <v>126</v>
      </c>
      <c r="Q6">
        <f>SUM(Q2:Q5)</f>
        <v>32</v>
      </c>
    </row>
    <row r="7" spans="1:20">
      <c r="A7" s="22" t="s">
        <v>120</v>
      </c>
      <c r="B7" s="22" t="s">
        <v>117</v>
      </c>
      <c r="C7">
        <v>76</v>
      </c>
      <c r="F7" t="s">
        <v>118</v>
      </c>
      <c r="G7" s="26">
        <v>2</v>
      </c>
      <c r="I7" s="24" t="s">
        <v>120</v>
      </c>
      <c r="J7" t="s">
        <v>118</v>
      </c>
      <c r="K7" s="30">
        <f t="shared" si="0"/>
        <v>2</v>
      </c>
    </row>
    <row r="8" spans="1:20">
      <c r="A8" s="22" t="s">
        <v>121</v>
      </c>
      <c r="B8" s="22" t="s">
        <v>117</v>
      </c>
      <c r="C8">
        <v>100</v>
      </c>
      <c r="F8" t="s">
        <v>117</v>
      </c>
      <c r="G8" s="26">
        <v>3</v>
      </c>
      <c r="I8" s="24" t="s">
        <v>120</v>
      </c>
      <c r="J8" t="s">
        <v>117</v>
      </c>
      <c r="K8" s="30">
        <f t="shared" si="0"/>
        <v>3</v>
      </c>
    </row>
    <row r="9" spans="1:20">
      <c r="A9" s="22" t="s">
        <v>121</v>
      </c>
      <c r="B9" s="22" t="s">
        <v>118</v>
      </c>
      <c r="C9">
        <v>78</v>
      </c>
      <c r="G9" s="26"/>
      <c r="K9" s="30">
        <f t="shared" si="0"/>
        <v>0</v>
      </c>
    </row>
    <row r="10" spans="1:20">
      <c r="A10" s="22" t="s">
        <v>121</v>
      </c>
      <c r="B10" s="22" t="s">
        <v>119</v>
      </c>
      <c r="C10">
        <v>56</v>
      </c>
      <c r="E10" t="s">
        <v>121</v>
      </c>
      <c r="F10" t="s">
        <v>119</v>
      </c>
      <c r="G10" s="26">
        <v>3</v>
      </c>
      <c r="I10" s="24" t="s">
        <v>121</v>
      </c>
      <c r="J10" t="s">
        <v>119</v>
      </c>
      <c r="K10" s="30">
        <f t="shared" si="0"/>
        <v>3</v>
      </c>
    </row>
    <row r="11" spans="1:20">
      <c r="A11" s="22" t="s">
        <v>122</v>
      </c>
      <c r="B11" s="22" t="s">
        <v>119</v>
      </c>
      <c r="C11">
        <v>12</v>
      </c>
      <c r="F11" t="s">
        <v>118</v>
      </c>
      <c r="G11" s="26">
        <v>3</v>
      </c>
      <c r="I11" s="24" t="s">
        <v>121</v>
      </c>
      <c r="J11" t="s">
        <v>118</v>
      </c>
      <c r="K11" s="30">
        <f t="shared" si="0"/>
        <v>3</v>
      </c>
    </row>
    <row r="12" spans="1:20">
      <c r="A12" s="22" t="s">
        <v>122</v>
      </c>
      <c r="B12" s="22" t="s">
        <v>117</v>
      </c>
      <c r="C12">
        <v>22</v>
      </c>
      <c r="F12" t="s">
        <v>117</v>
      </c>
      <c r="G12" s="26">
        <v>3</v>
      </c>
      <c r="I12" s="24" t="s">
        <v>121</v>
      </c>
      <c r="J12" t="s">
        <v>117</v>
      </c>
      <c r="K12" s="30">
        <f t="shared" si="0"/>
        <v>3</v>
      </c>
    </row>
    <row r="13" spans="1:20">
      <c r="A13" s="22" t="s">
        <v>122</v>
      </c>
      <c r="B13" s="22" t="s">
        <v>118</v>
      </c>
      <c r="C13">
        <v>60</v>
      </c>
      <c r="G13" s="26"/>
      <c r="K13" s="30">
        <f t="shared" si="0"/>
        <v>0</v>
      </c>
    </row>
    <row r="14" spans="1:20">
      <c r="A14" s="22" t="s">
        <v>116</v>
      </c>
      <c r="B14" s="22" t="s">
        <v>117</v>
      </c>
      <c r="C14">
        <v>49</v>
      </c>
      <c r="E14" t="s">
        <v>122</v>
      </c>
      <c r="F14" t="s">
        <v>119</v>
      </c>
      <c r="G14" s="26">
        <v>3</v>
      </c>
      <c r="I14" s="24" t="s">
        <v>122</v>
      </c>
      <c r="J14" t="s">
        <v>119</v>
      </c>
      <c r="K14" s="30">
        <f t="shared" si="0"/>
        <v>3</v>
      </c>
    </row>
    <row r="15" spans="1:20">
      <c r="A15" s="22" t="s">
        <v>116</v>
      </c>
      <c r="B15" s="22" t="s">
        <v>118</v>
      </c>
      <c r="C15">
        <v>30</v>
      </c>
      <c r="F15" t="s">
        <v>118</v>
      </c>
      <c r="G15" s="26">
        <v>3</v>
      </c>
      <c r="I15" s="24" t="s">
        <v>122</v>
      </c>
      <c r="J15" t="s">
        <v>118</v>
      </c>
      <c r="K15" s="30">
        <f t="shared" si="0"/>
        <v>3</v>
      </c>
    </row>
    <row r="16" spans="1:20">
      <c r="A16" s="22" t="s">
        <v>116</v>
      </c>
      <c r="B16" s="22" t="s">
        <v>119</v>
      </c>
      <c r="C16">
        <v>82</v>
      </c>
      <c r="F16" t="s">
        <v>117</v>
      </c>
      <c r="G16" s="26">
        <v>3</v>
      </c>
      <c r="I16" s="24" t="s">
        <v>122</v>
      </c>
      <c r="J16" t="s">
        <v>117</v>
      </c>
      <c r="K16" s="30">
        <f t="shared" si="0"/>
        <v>3</v>
      </c>
    </row>
    <row r="17" spans="1:11">
      <c r="A17" s="22" t="s">
        <v>120</v>
      </c>
      <c r="B17" s="22" t="s">
        <v>118</v>
      </c>
      <c r="C17">
        <v>31</v>
      </c>
      <c r="G17" s="26"/>
      <c r="K17" s="30">
        <f t="shared" si="0"/>
        <v>0</v>
      </c>
    </row>
    <row r="18" spans="1:11">
      <c r="A18" s="22" t="s">
        <v>120</v>
      </c>
      <c r="B18" s="22" t="s">
        <v>119</v>
      </c>
      <c r="C18">
        <v>23</v>
      </c>
      <c r="E18" t="s">
        <v>123</v>
      </c>
      <c r="G18" s="26">
        <v>32</v>
      </c>
      <c r="I18" s="25" t="s">
        <v>123</v>
      </c>
      <c r="J18" s="25"/>
    </row>
    <row r="19" spans="1:11">
      <c r="A19" s="22" t="s">
        <v>120</v>
      </c>
      <c r="B19" s="22" t="s">
        <v>117</v>
      </c>
      <c r="C19">
        <v>44</v>
      </c>
    </row>
    <row r="20" spans="1:11">
      <c r="A20" s="22" t="s">
        <v>121</v>
      </c>
      <c r="B20" s="22" t="s">
        <v>117</v>
      </c>
      <c r="C20">
        <v>51</v>
      </c>
    </row>
    <row r="21" spans="1:11">
      <c r="A21" s="22" t="s">
        <v>121</v>
      </c>
      <c r="B21" s="22" t="s">
        <v>118</v>
      </c>
      <c r="C21">
        <v>80</v>
      </c>
    </row>
    <row r="22" spans="1:11">
      <c r="A22" s="22" t="s">
        <v>121</v>
      </c>
      <c r="B22" s="22" t="s">
        <v>119</v>
      </c>
      <c r="C22">
        <v>40</v>
      </c>
    </row>
    <row r="23" spans="1:11">
      <c r="A23" s="22" t="s">
        <v>122</v>
      </c>
      <c r="B23" s="22" t="s">
        <v>119</v>
      </c>
      <c r="C23">
        <v>36</v>
      </c>
    </row>
    <row r="24" spans="1:11">
      <c r="A24" s="22" t="s">
        <v>122</v>
      </c>
      <c r="B24" s="22" t="s">
        <v>117</v>
      </c>
      <c r="C24">
        <v>52</v>
      </c>
    </row>
    <row r="25" spans="1:11">
      <c r="A25" s="22" t="s">
        <v>122</v>
      </c>
      <c r="B25" s="22" t="s">
        <v>118</v>
      </c>
      <c r="C25">
        <v>35</v>
      </c>
    </row>
    <row r="26" spans="1:11">
      <c r="A26" s="22" t="s">
        <v>120</v>
      </c>
      <c r="B26" s="22" t="s">
        <v>119</v>
      </c>
      <c r="C26">
        <v>56</v>
      </c>
    </row>
    <row r="27" spans="1:11">
      <c r="A27" s="22" t="s">
        <v>120</v>
      </c>
      <c r="B27" s="22" t="s">
        <v>117</v>
      </c>
      <c r="C27">
        <v>74</v>
      </c>
    </row>
    <row r="28" spans="1:11">
      <c r="A28" s="22" t="s">
        <v>121</v>
      </c>
      <c r="B28" s="22" t="s">
        <v>117</v>
      </c>
      <c r="C28">
        <v>42</v>
      </c>
    </row>
    <row r="29" spans="1:11">
      <c r="A29" s="22" t="s">
        <v>121</v>
      </c>
      <c r="B29" s="22" t="s">
        <v>118</v>
      </c>
      <c r="C29">
        <v>84</v>
      </c>
    </row>
    <row r="30" spans="1:11">
      <c r="A30" s="22" t="s">
        <v>121</v>
      </c>
      <c r="B30" s="22" t="s">
        <v>119</v>
      </c>
      <c r="C30">
        <v>48</v>
      </c>
    </row>
    <row r="31" spans="1:11">
      <c r="A31" s="22" t="s">
        <v>122</v>
      </c>
      <c r="B31" s="22" t="s">
        <v>119</v>
      </c>
      <c r="C31">
        <v>33</v>
      </c>
    </row>
    <row r="32" spans="1:11">
      <c r="A32" s="22" t="s">
        <v>122</v>
      </c>
      <c r="B32" s="22" t="s">
        <v>117</v>
      </c>
      <c r="C32">
        <v>61</v>
      </c>
    </row>
    <row r="33" spans="1:3">
      <c r="A33" s="22" t="s">
        <v>122</v>
      </c>
      <c r="B33" s="22" t="s">
        <v>118</v>
      </c>
      <c r="C3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Basic Mathematical Formulas</vt:lpstr>
      <vt:lpstr>Statistical Formulas</vt:lpstr>
      <vt:lpstr>Date &amp; Time Functions</vt:lpstr>
      <vt:lpstr>COUNTfUNCTIONS</vt:lpstr>
      <vt:lpstr>Sheet5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2026-07-03T06:42:46Z</dcterms:modified>
</cp:coreProperties>
</file>