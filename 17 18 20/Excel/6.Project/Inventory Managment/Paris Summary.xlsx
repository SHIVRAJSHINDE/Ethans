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Summary" sheetId="4" r:id="rId1"/>
    <sheet name="MSF" sheetId="1" r:id="rId2"/>
    <sheet name="Louvre" sheetId="2" r:id="rId3"/>
    <sheet name="Accor" sheetId="3" r:id="rId4"/>
    <sheet name="RawData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4" l="1"/>
  <c r="G6" i="4"/>
  <c r="G7" i="4"/>
  <c r="G8" i="4"/>
  <c r="G9" i="4"/>
  <c r="G10" i="4"/>
  <c r="G11" i="4"/>
  <c r="G12" i="4"/>
  <c r="G13" i="4"/>
  <c r="G14" i="4"/>
  <c r="G15" i="4"/>
  <c r="G16" i="4"/>
  <c r="G17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C6" i="4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B2" i="3"/>
  <c r="B2" i="2"/>
  <c r="B3" i="2"/>
  <c r="B4" i="2"/>
  <c r="B5" i="2"/>
  <c r="B6" i="2"/>
  <c r="B7" i="2"/>
  <c r="B8" i="2"/>
  <c r="B9" i="2"/>
  <c r="B10" i="2"/>
  <c r="B11" i="2"/>
  <c r="B12" i="2"/>
  <c r="B13" i="2"/>
  <c r="B14" i="2"/>
  <c r="A3" i="3"/>
  <c r="A5" i="3"/>
  <c r="A2" i="3"/>
  <c r="A4" i="3"/>
  <c r="A6" i="3"/>
  <c r="A7" i="3"/>
  <c r="A8" i="3"/>
  <c r="A9" i="3"/>
  <c r="A10" i="3"/>
  <c r="A11" i="3"/>
  <c r="A12" i="3"/>
  <c r="A13" i="3"/>
  <c r="A14" i="3"/>
  <c r="A2" i="2"/>
  <c r="A3" i="2"/>
  <c r="A4" i="2"/>
  <c r="A5" i="2"/>
  <c r="A6" i="2"/>
  <c r="A7" i="2"/>
  <c r="A8" i="2"/>
  <c r="A9" i="2"/>
  <c r="A10" i="2"/>
  <c r="A11" i="2"/>
  <c r="A12" i="2"/>
  <c r="A13" i="2"/>
  <c r="A14" i="2"/>
  <c r="A14" i="1"/>
  <c r="A13" i="1"/>
  <c r="A12" i="1"/>
  <c r="A11" i="1"/>
  <c r="A10" i="1"/>
  <c r="A9" i="1"/>
  <c r="A8" i="1"/>
  <c r="A7" i="1"/>
  <c r="A6" i="1"/>
  <c r="A5" i="1"/>
  <c r="A4" i="1"/>
  <c r="A3" i="1"/>
  <c r="A2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4" i="3"/>
  <c r="B13" i="3"/>
  <c r="B12" i="3"/>
  <c r="B11" i="3"/>
  <c r="B10" i="3"/>
  <c r="B9" i="3"/>
  <c r="B8" i="3"/>
  <c r="B7" i="3"/>
  <c r="B6" i="3"/>
  <c r="B5" i="3"/>
  <c r="B4" i="3"/>
  <c r="B3" i="3"/>
</calcChain>
</file>

<file path=xl/sharedStrings.xml><?xml version="1.0" encoding="utf-8"?>
<sst xmlns="http://schemas.openxmlformats.org/spreadsheetml/2006/main" count="288" uniqueCount="80">
  <si>
    <t>Cut_off</t>
  </si>
  <si>
    <t>Sr.No.</t>
  </si>
  <si>
    <t>Region</t>
  </si>
  <si>
    <t>City(Area)</t>
  </si>
  <si>
    <t>Tour Date</t>
  </si>
  <si>
    <t>Tour Name</t>
  </si>
  <si>
    <t>Dept</t>
  </si>
  <si>
    <t>Status-1</t>
  </si>
  <si>
    <t>Supplier</t>
  </si>
  <si>
    <t>Hotel-1</t>
  </si>
  <si>
    <t>Options</t>
  </si>
  <si>
    <t>SGL</t>
  </si>
  <si>
    <t>DBL</t>
  </si>
  <si>
    <t>TPL</t>
  </si>
  <si>
    <t>TOTAL</t>
  </si>
  <si>
    <t>Operating</t>
  </si>
  <si>
    <t>CtOF</t>
  </si>
  <si>
    <t>Gaurav Yatra - Mini Europe - Summer 2019</t>
  </si>
  <si>
    <t>PNDG</t>
  </si>
  <si>
    <t>MSF</t>
  </si>
  <si>
    <t>Ibis Styles Parc des Expositions de Villepinte Hotel</t>
  </si>
  <si>
    <t>Swiss Glory - Summer 2019 - NRI ROW</t>
  </si>
  <si>
    <t>OK</t>
  </si>
  <si>
    <t>European Charm - Summer 2019</t>
  </si>
  <si>
    <t xml:space="preserve">Ibis Epinay Sur Seine Hotel </t>
  </si>
  <si>
    <t>Gaurav Yatra - Magical Europe - Summer 2019</t>
  </si>
  <si>
    <t>Taste of Europe - Summer 2019</t>
  </si>
  <si>
    <t>Millennium Charles De Gaulle 4*</t>
  </si>
  <si>
    <t>European Whirl - Summer 2019</t>
  </si>
  <si>
    <t>Mercure Le Bourget Hotel 4*</t>
  </si>
  <si>
    <t>French Swiss Medley - Summer 2019</t>
  </si>
  <si>
    <t>Marvels Of Europe - Summer 2019</t>
  </si>
  <si>
    <t>Mercure Val de Fontenay 4*</t>
  </si>
  <si>
    <t>Operating2</t>
  </si>
  <si>
    <t>CtOF3</t>
  </si>
  <si>
    <t>Louvre</t>
  </si>
  <si>
    <t xml:space="preserve">Campanile Roissy </t>
  </si>
  <si>
    <t xml:space="preserve">Sgl BB 50€, Twn BB 52€ , Tpl BB 74€, City Tax 1.90 €   </t>
  </si>
  <si>
    <t>3 triple room maximum</t>
  </si>
  <si>
    <t xml:space="preserve">Sgl BB 52€, Twn BB 54€ , No Tpl , City Tax 1.90 €   </t>
  </si>
  <si>
    <t xml:space="preserve">Sgl BB 55€, Twn BB 57€ , No Tpl , City Tax 1.90 €   </t>
  </si>
  <si>
    <t xml:space="preserve">Sgl BB 51€, Twn BB 55€ , Tpl BB 79€, City Tax 1.65 €   </t>
  </si>
  <si>
    <t xml:space="preserve">Sgl BB 49€, Twn BB 51€ , Tpl BB 63€, City Tax 1.65 €   </t>
  </si>
  <si>
    <t xml:space="preserve">Sgl BB 46€, Twn BB 48€ , Tpl BB NA, City Tax 1.65 €   </t>
  </si>
  <si>
    <t>Accor</t>
  </si>
  <si>
    <t xml:space="preserve">Novotel Paris Est </t>
  </si>
  <si>
    <t>45 € 1/2 twin BB, Suppl single  = ½ twin – 2 €, Sup triple =  ½ twin – 5 €, 1.80€ pp extra for city tax</t>
  </si>
  <si>
    <t>ABC HOTEL</t>
  </si>
  <si>
    <t>42 € 1/2 twin BB, Suppl single  = ½ twin – 2 €, Sup triple =  ½ twin – 5 €, 1.80€ pp extra for city tax</t>
  </si>
  <si>
    <t>47 € 1/2 twin BB, Suppl single  = ½ twin – 2 €, Sup triple =  ½ twin – 5 €, 1.80€ pp extra for city tax</t>
  </si>
  <si>
    <t xml:space="preserve">Package Name </t>
  </si>
  <si>
    <t>PKG_CODE</t>
  </si>
  <si>
    <t>Best Of Schengen - Summer 2019</t>
  </si>
  <si>
    <t>DD.BSCH</t>
  </si>
  <si>
    <t>Best of Europe - Summer 2019</t>
  </si>
  <si>
    <t>DD.BSEU</t>
  </si>
  <si>
    <t>Fascinating Europe - Summer 2019</t>
  </si>
  <si>
    <t>DD.FAST</t>
  </si>
  <si>
    <t>French Swiss Medley with London - Summer 2019</t>
  </si>
  <si>
    <t>DD.FS&amp;L</t>
  </si>
  <si>
    <t>DD.FSME</t>
  </si>
  <si>
    <t>European Glimpse - Summer 2019</t>
  </si>
  <si>
    <t>DD.GLMS</t>
  </si>
  <si>
    <t>DD.MRVL</t>
  </si>
  <si>
    <t>European Splendour - Summer 2019</t>
  </si>
  <si>
    <t>DD.SPLD</t>
  </si>
  <si>
    <t>DD.WHRL</t>
  </si>
  <si>
    <t>Gaurav Yatra - European Bonanza - Summer 2019</t>
  </si>
  <si>
    <t>GY.EBNZ</t>
  </si>
  <si>
    <t>GY.MGKE</t>
  </si>
  <si>
    <t>GY.MINI</t>
  </si>
  <si>
    <t>NR.EUCH</t>
  </si>
  <si>
    <t>NR.SWGL</t>
  </si>
  <si>
    <t>NR.TAEU</t>
  </si>
  <si>
    <t>Code</t>
  </si>
  <si>
    <t>Column1</t>
  </si>
  <si>
    <t>Column2</t>
  </si>
  <si>
    <t>Cut off</t>
  </si>
  <si>
    <t>Sr No2</t>
  </si>
  <si>
    <t>Cutof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</si>
</sst>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dd/mm/yy"/>
    <numFmt numFmtId="165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2" fillId="2" borderId="0" xfId="2"/>
    <xf numFmtId="164" fontId="2" fillId="2" borderId="0" xfId="2" applyNumberFormat="1"/>
    <xf numFmtId="0" fontId="3" fillId="0" borderId="0" xfId="0" applyFont="1"/>
    <xf numFmtId="0" fontId="0" fillId="0" borderId="0" xfId="0" quotePrefix="1"/>
    <xf numFmtId="165" fontId="0" fillId="0" borderId="0" xfId="1" applyNumberFormat="1" applyFont="1"/>
  </cellXfs>
  <cellStyles count="3">
    <cellStyle name="Accent2" xfId="2" builtinId="33"/>
    <cellStyle name="Comma" xfId="1" builtinId="3"/>
    <cellStyle name="Normal" xfId="0" builtinId="0"/>
  </cellStyles>
  <dxfs count="16">
    <dxf>
      <numFmt numFmtId="165" formatCode="_ * #,##0_ ;_ * \-#,##0_ ;_ * &quot;-&quot;??_ ;_ @_ "/>
    </dxf>
    <dxf>
      <font>
        <strike val="0"/>
        <outline val="0"/>
        <shadow val="0"/>
        <u val="none"/>
        <vertAlign val="baseline"/>
        <sz val="11"/>
        <color theme="1"/>
        <name val="Courier New"/>
        <scheme val="none"/>
      </font>
      <numFmt numFmtId="0" formatCode="General"/>
    </dxf>
    <dxf>
      <numFmt numFmtId="0" formatCode="General"/>
    </dxf>
    <dxf>
      <numFmt numFmtId="164" formatCode="dd/mm/yy"/>
    </dxf>
    <dxf>
      <numFmt numFmtId="20" formatCode="dd/mmm/yy"/>
    </dxf>
    <dxf>
      <font>
        <strike val="0"/>
        <outline val="0"/>
        <shadow val="0"/>
        <u val="none"/>
        <vertAlign val="baseline"/>
        <sz val="11"/>
        <color theme="1"/>
        <name val="Courier New"/>
        <scheme val="none"/>
      </font>
      <numFmt numFmtId="0" formatCode="General"/>
    </dxf>
    <dxf>
      <numFmt numFmtId="0" formatCode="General"/>
    </dxf>
    <dxf>
      <numFmt numFmtId="20" formatCode="dd/mmm/yy"/>
    </dxf>
    <dxf>
      <numFmt numFmtId="0" formatCode="General"/>
    </dxf>
    <dxf>
      <numFmt numFmtId="20" formatCode="dd/mmm/yy"/>
    </dxf>
    <dxf>
      <font>
        <strike val="0"/>
        <outline val="0"/>
        <shadow val="0"/>
        <u val="none"/>
        <vertAlign val="baseline"/>
        <sz val="11"/>
        <color theme="1"/>
        <name val="Courier New"/>
        <scheme val="none"/>
      </font>
      <numFmt numFmtId="0" formatCode="General"/>
    </dxf>
    <dxf>
      <numFmt numFmtId="0" formatCode="General"/>
    </dxf>
    <dxf>
      <numFmt numFmtId="164" formatCode="dd/mm/yy"/>
    </dxf>
    <dxf>
      <numFmt numFmtId="164" formatCode="dd/mm/yy"/>
    </dxf>
    <dxf>
      <numFmt numFmtId="164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6" name="Sum" displayName="Sum" ref="A4:G17" totalsRowShown="0">
  <autoFilter ref="A4:G17"/>
  <tableColumns count="7">
    <tableColumn id="1" name="Code" dataDxfId="1">
      <calculatedColumnFormula>VLOOKUP(Sum[[#This Row],[Tour Name]],RawData[#All],2,FALSE)&amp;"."&amp;TEXT(Sum[[#This Row],[Tour Date]],"ddmm")</calculatedColumnFormula>
    </tableColumn>
    <tableColumn id="6" name="Column1" dataDxfId="2"/>
    <tableColumn id="5" name="Sr No2"/>
    <tableColumn id="2" name="Tour Date" dataDxfId="4"/>
    <tableColumn id="3" name="Tour Name"/>
    <tableColumn id="4" name="Dept"/>
    <tableColumn id="7" name="Cutof" dataDxfId="0" dataCellStyle="Comma">
      <calculatedColumnFormula>COUNTIFS(MSF[[#All],[Cut_off]],Summary!$G$2,MSF[[#All],[Code]],Sum[[#This Row],[Code]])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SF" displayName="MSF" ref="A1:R14" totalsRowShown="0" headerRowCellStyle="Accent2">
  <autoFilter ref="A1:R14"/>
  <tableColumns count="18">
    <tableColumn id="1" name="Code" dataDxfId="15">
      <calculatedColumnFormula>VLOOKUP(G2,'RawData'!$A$2:$B$17,2,FALSE)&amp;"."&amp;TEXT(F2,"DDMM")</calculatedColumnFormula>
    </tableColumn>
    <tableColumn id="2" name="Cut_off" dataDxfId="14">
      <calculatedColumnFormula>F2-30</calculatedColumnFormula>
    </tableColumn>
    <tableColumn id="3" name="Sr.No."/>
    <tableColumn id="4" name="Region"/>
    <tableColumn id="5" name="City(Area)"/>
    <tableColumn id="6" name="Tour Date" dataDxfId="13"/>
    <tableColumn id="7" name="Tour Name"/>
    <tableColumn id="8" name="Dept"/>
    <tableColumn id="9" name="Status-1"/>
    <tableColumn id="10" name="Supplier"/>
    <tableColumn id="11" name="Hotel-1"/>
    <tableColumn id="12" name="Options"/>
    <tableColumn id="13" name="SGL"/>
    <tableColumn id="14" name="DBL"/>
    <tableColumn id="15" name="TPL"/>
    <tableColumn id="16" name="TOTAL"/>
    <tableColumn id="17" name="Operating"/>
    <tableColumn id="18" name="CtOF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4" name="Louvre" displayName="Louvre" ref="A1:T14" totalsRowShown="0" headerRowCellStyle="Accent2">
  <autoFilter ref="A1:T14"/>
  <tableColumns count="20">
    <tableColumn id="1" name="Code" dataDxfId="10">
      <calculatedColumnFormula>VLOOKUP(Louvre[[#This Row],[Tour Name]],RawData[#All],2,FALSE)&amp;"."&amp;TEXT(Louvre[[#This Row],[Tour Date]],"ddmm")</calculatedColumnFormula>
    </tableColumn>
    <tableColumn id="2" name="Cut_off" dataDxfId="3">
      <calculatedColumnFormula>F2-40</calculatedColumnFormula>
    </tableColumn>
    <tableColumn id="3" name="Sr.No." dataDxfId="11"/>
    <tableColumn id="4" name="Region"/>
    <tableColumn id="5" name="City(Area)"/>
    <tableColumn id="6" name="Tour Date" dataDxfId="12"/>
    <tableColumn id="7" name="Tour Name"/>
    <tableColumn id="8" name="Dept"/>
    <tableColumn id="9" name="Status-1"/>
    <tableColumn id="10" name="Supplier"/>
    <tableColumn id="11" name="Hotel-1"/>
    <tableColumn id="12" name="Options"/>
    <tableColumn id="13" name="SGL"/>
    <tableColumn id="14" name="DBL"/>
    <tableColumn id="15" name="TPL"/>
    <tableColumn id="16" name="TOTAL"/>
    <tableColumn id="17" name="Operating"/>
    <tableColumn id="18" name="CtOF"/>
    <tableColumn id="19" name="Operating2"/>
    <tableColumn id="20" name="CtOF3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5" name="Accor" displayName="Accor" ref="A1:T14" totalsRowShown="0" headerRowCellStyle="Accent2">
  <autoFilter ref="A1:T14"/>
  <tableColumns count="20">
    <tableColumn id="1" name="Code" dataDxfId="5">
      <calculatedColumnFormula>VLOOKUP(Accor[[#This Row],[Tour Name]],RawData[#All],2,FALSE)&amp;"."&amp;TEXT(Accor[[#This Row],[Tour Date]],"ddmm")</calculatedColumnFormula>
    </tableColumn>
    <tableColumn id="2" name="Cut_off" dataDxfId="7">
      <calculatedColumnFormula>F2-30</calculatedColumnFormula>
    </tableColumn>
    <tableColumn id="3" name="Sr.No." dataDxfId="8"/>
    <tableColumn id="4" name="Region" dataDxfId="6"/>
    <tableColumn id="5" name="City(Area)"/>
    <tableColumn id="6" name="Tour Date" dataDxfId="9"/>
    <tableColumn id="7" name="Tour Name"/>
    <tableColumn id="8" name="Dept"/>
    <tableColumn id="9" name="Status-1"/>
    <tableColumn id="10" name="Supplier"/>
    <tableColumn id="11" name="Hotel-1"/>
    <tableColumn id="12" name="Options"/>
    <tableColumn id="13" name="SGL"/>
    <tableColumn id="14" name="DBL"/>
    <tableColumn id="15" name="TPL"/>
    <tableColumn id="16" name="TOTAL"/>
    <tableColumn id="17" name="Operating"/>
    <tableColumn id="18" name="CtOF"/>
    <tableColumn id="19" name="Operating2"/>
    <tableColumn id="20" name="CtOF3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3" name="RawData" displayName="RawData" ref="A1:B17" totalsRowShown="0">
  <autoFilter ref="A1:B17"/>
  <tableColumns count="2">
    <tableColumn id="1" name="Column1"/>
    <tableColumn id="2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G5" sqref="G5"/>
    </sheetView>
  </sheetViews>
  <sheetFormatPr defaultRowHeight="14.4" x14ac:dyDescent="0.3"/>
  <cols>
    <col min="1" max="1" width="15.77734375" bestFit="1" customWidth="1"/>
    <col min="2" max="2" width="9" customWidth="1"/>
    <col min="3" max="3" width="7.21875" customWidth="1"/>
    <col min="4" max="4" width="11.109375" style="2" customWidth="1"/>
    <col min="5" max="5" width="39.109375" bestFit="1" customWidth="1"/>
    <col min="6" max="6" width="6.88671875" customWidth="1"/>
  </cols>
  <sheetData>
    <row r="1" spans="1:7" x14ac:dyDescent="0.3">
      <c r="F1" t="s">
        <v>77</v>
      </c>
    </row>
    <row r="2" spans="1:7" x14ac:dyDescent="0.3">
      <c r="G2" s="1">
        <v>46218</v>
      </c>
    </row>
    <row r="4" spans="1:7" x14ac:dyDescent="0.3">
      <c r="A4" s="5" t="s">
        <v>74</v>
      </c>
      <c r="B4" t="s">
        <v>75</v>
      </c>
      <c r="C4" t="s">
        <v>78</v>
      </c>
      <c r="D4" s="2" t="s">
        <v>4</v>
      </c>
      <c r="E4" t="s">
        <v>5</v>
      </c>
      <c r="F4" t="s">
        <v>6</v>
      </c>
      <c r="G4" t="s">
        <v>79</v>
      </c>
    </row>
    <row r="5" spans="1:7" x14ac:dyDescent="0.3">
      <c r="A5" s="5" t="str">
        <f>VLOOKUP(Sum[[#This Row],[Tour Name]],RawData[#All],2,FALSE)&amp;"."&amp;TEXT(Sum[[#This Row],[Tour Date]],"ddmm")</f>
        <v>GY.MINI.0208</v>
      </c>
      <c r="C5">
        <v>1</v>
      </c>
      <c r="D5" s="2">
        <v>46236</v>
      </c>
      <c r="E5" t="s">
        <v>17</v>
      </c>
      <c r="F5">
        <v>1</v>
      </c>
      <c r="G5" s="7">
        <f>COUNTIFS(MSF[[#All],[Cut_off]],Summary!$G$2,MSF[[#All],[Code]],Sum[[#This Row],[Code]])</f>
        <v>0</v>
      </c>
    </row>
    <row r="6" spans="1:7" x14ac:dyDescent="0.3">
      <c r="A6" s="5" t="str">
        <f>VLOOKUP(Sum[[#This Row],[Tour Name]],RawData[#All],2,FALSE)&amp;"."&amp;TEXT(Sum[[#This Row],[Tour Date]],"ddmm")</f>
        <v>NR.SWGL.0308</v>
      </c>
      <c r="C6">
        <f>C5+1</f>
        <v>2</v>
      </c>
      <c r="D6" s="2">
        <v>46237</v>
      </c>
      <c r="E6" t="s">
        <v>21</v>
      </c>
      <c r="F6">
        <v>1</v>
      </c>
      <c r="G6" s="7">
        <f>COUNTIFS(MSF[[#All],[Cut_off]],Summary!$G$2,MSF[[#All],[Code]],Sum[[#This Row],[Code]])</f>
        <v>0</v>
      </c>
    </row>
    <row r="7" spans="1:7" x14ac:dyDescent="0.3">
      <c r="A7" s="5" t="str">
        <f>VLOOKUP(Sum[[#This Row],[Tour Name]],RawData[#All],2,FALSE)&amp;"."&amp;TEXT(Sum[[#This Row],[Tour Date]],"ddmm")</f>
        <v>NR.EUCH.0408</v>
      </c>
      <c r="C7">
        <f t="shared" ref="C7:C17" si="0">C6+1</f>
        <v>3</v>
      </c>
      <c r="D7" s="2">
        <v>46238</v>
      </c>
      <c r="E7" t="s">
        <v>23</v>
      </c>
      <c r="F7">
        <v>1</v>
      </c>
      <c r="G7" s="7">
        <f>COUNTIFS(MSF[[#All],[Cut_off]],Summary!$G$2,MSF[[#All],[Code]],Sum[[#This Row],[Code]])</f>
        <v>0</v>
      </c>
    </row>
    <row r="8" spans="1:7" x14ac:dyDescent="0.3">
      <c r="A8" s="5" t="str">
        <f>VLOOKUP(Sum[[#This Row],[Tour Name]],RawData[#All],2,FALSE)&amp;"."&amp;TEXT(Sum[[#This Row],[Tour Date]],"ddmm")</f>
        <v>GY.MINI.0508</v>
      </c>
      <c r="C8">
        <f t="shared" si="0"/>
        <v>4</v>
      </c>
      <c r="D8" s="2">
        <v>46239</v>
      </c>
      <c r="E8" t="s">
        <v>17</v>
      </c>
      <c r="F8">
        <v>1</v>
      </c>
      <c r="G8" s="7">
        <f>COUNTIFS(MSF[[#All],[Cut_off]],Summary!$G$2,MSF[[#All],[Code]],Sum[[#This Row],[Code]])</f>
        <v>0</v>
      </c>
    </row>
    <row r="9" spans="1:7" x14ac:dyDescent="0.3">
      <c r="A9" s="5" t="str">
        <f>VLOOKUP(Sum[[#This Row],[Tour Name]],RawData[#All],2,FALSE)&amp;"."&amp;TEXT(Sum[[#This Row],[Tour Date]],"ddmm")</f>
        <v>NR.EUCH.0608</v>
      </c>
      <c r="C9">
        <f t="shared" si="0"/>
        <v>5</v>
      </c>
      <c r="D9" s="2">
        <v>46240</v>
      </c>
      <c r="E9" t="s">
        <v>23</v>
      </c>
      <c r="F9">
        <v>1</v>
      </c>
      <c r="G9" s="7">
        <f>COUNTIFS(MSF[[#All],[Cut_off]],Summary!$G$2,MSF[[#All],[Code]],Sum[[#This Row],[Code]])</f>
        <v>0</v>
      </c>
    </row>
    <row r="10" spans="1:7" x14ac:dyDescent="0.3">
      <c r="A10" s="5" t="str">
        <f>VLOOKUP(Sum[[#This Row],[Tour Name]],RawData[#All],2,FALSE)&amp;"."&amp;TEXT(Sum[[#This Row],[Tour Date]],"ddmm")</f>
        <v>GY.MGKE.0708</v>
      </c>
      <c r="C10">
        <f t="shared" si="0"/>
        <v>6</v>
      </c>
      <c r="D10" s="2">
        <v>46241</v>
      </c>
      <c r="E10" t="s">
        <v>25</v>
      </c>
      <c r="F10">
        <v>1</v>
      </c>
      <c r="G10" s="7">
        <f>COUNTIFS(MSF[[#All],[Cut_off]],Summary!$G$2,MSF[[#All],[Code]],Sum[[#This Row],[Code]])</f>
        <v>0</v>
      </c>
    </row>
    <row r="11" spans="1:7" x14ac:dyDescent="0.3">
      <c r="A11" s="5" t="str">
        <f>VLOOKUP(Sum[[#This Row],[Tour Name]],RawData[#All],2,FALSE)&amp;"."&amp;TEXT(Sum[[#This Row],[Tour Date]],"ddmm")</f>
        <v>NR.TAEU.0808</v>
      </c>
      <c r="C11">
        <f t="shared" si="0"/>
        <v>7</v>
      </c>
      <c r="D11" s="2">
        <v>46242</v>
      </c>
      <c r="E11" t="s">
        <v>26</v>
      </c>
      <c r="F11">
        <v>1</v>
      </c>
      <c r="G11" s="7">
        <f>COUNTIFS(MSF[[#All],[Cut_off]],Summary!$G$2,MSF[[#All],[Code]],Sum[[#This Row],[Code]])</f>
        <v>0</v>
      </c>
    </row>
    <row r="12" spans="1:7" x14ac:dyDescent="0.3">
      <c r="A12" s="5" t="str">
        <f>VLOOKUP(Sum[[#This Row],[Tour Name]],RawData[#All],2,FALSE)&amp;"."&amp;TEXT(Sum[[#This Row],[Tour Date]],"ddmm")</f>
        <v>NR.SWGL.0908</v>
      </c>
      <c r="C12">
        <f t="shared" si="0"/>
        <v>8</v>
      </c>
      <c r="D12" s="2">
        <v>46243</v>
      </c>
      <c r="E12" t="s">
        <v>21</v>
      </c>
      <c r="F12">
        <v>1</v>
      </c>
      <c r="G12" s="7">
        <f>COUNTIFS(MSF[[#All],[Cut_off]],Summary!$G$2,MSF[[#All],[Code]],Sum[[#This Row],[Code]])</f>
        <v>0</v>
      </c>
    </row>
    <row r="13" spans="1:7" x14ac:dyDescent="0.3">
      <c r="A13" s="5" t="str">
        <f>VLOOKUP(Sum[[#This Row],[Tour Name]],RawData[#All],2,FALSE)&amp;"."&amp;TEXT(Sum[[#This Row],[Tour Date]],"ddmm")</f>
        <v>DD.WHRL.1008</v>
      </c>
      <c r="C13">
        <f t="shared" si="0"/>
        <v>9</v>
      </c>
      <c r="D13" s="2">
        <v>46244</v>
      </c>
      <c r="E13" t="s">
        <v>28</v>
      </c>
      <c r="F13">
        <v>1</v>
      </c>
      <c r="G13" s="7">
        <f>COUNTIFS(MSF[[#All],[Cut_off]],Summary!$G$2,MSF[[#All],[Code]],Sum[[#This Row],[Code]])</f>
        <v>0</v>
      </c>
    </row>
    <row r="14" spans="1:7" x14ac:dyDescent="0.3">
      <c r="A14" s="5" t="str">
        <f>VLOOKUP(Sum[[#This Row],[Tour Name]],RawData[#All],2,FALSE)&amp;"."&amp;TEXT(Sum[[#This Row],[Tour Date]],"ddmm")</f>
        <v>GY.MINI.1108</v>
      </c>
      <c r="C14">
        <f t="shared" si="0"/>
        <v>10</v>
      </c>
      <c r="D14" s="2">
        <v>46245</v>
      </c>
      <c r="E14" t="s">
        <v>17</v>
      </c>
      <c r="F14">
        <v>1</v>
      </c>
      <c r="G14" s="7">
        <f>COUNTIFS(MSF[[#All],[Cut_off]],Summary!$G$2,MSF[[#All],[Code]],Sum[[#This Row],[Code]])</f>
        <v>0</v>
      </c>
    </row>
    <row r="15" spans="1:7" x14ac:dyDescent="0.3">
      <c r="A15" s="5" t="str">
        <f>VLOOKUP(Sum[[#This Row],[Tour Name]],RawData[#All],2,FALSE)&amp;"."&amp;TEXT(Sum[[#This Row],[Tour Date]],"ddmm")</f>
        <v>NR.EUCH.1208</v>
      </c>
      <c r="C15">
        <f t="shared" si="0"/>
        <v>11</v>
      </c>
      <c r="D15" s="2">
        <v>46246</v>
      </c>
      <c r="E15" t="s">
        <v>23</v>
      </c>
      <c r="F15">
        <v>1</v>
      </c>
      <c r="G15" s="7">
        <f>COUNTIFS(MSF[[#All],[Cut_off]],Summary!$G$2,MSF[[#All],[Code]],Sum[[#This Row],[Code]])</f>
        <v>0</v>
      </c>
    </row>
    <row r="16" spans="1:7" x14ac:dyDescent="0.3">
      <c r="A16" s="5" t="str">
        <f>VLOOKUP(Sum[[#This Row],[Tour Name]],RawData[#All],2,FALSE)&amp;"."&amp;TEXT(Sum[[#This Row],[Tour Date]],"ddmm")</f>
        <v>DD.FSME.1308</v>
      </c>
      <c r="C16">
        <f t="shared" si="0"/>
        <v>12</v>
      </c>
      <c r="D16" s="2">
        <v>46247</v>
      </c>
      <c r="E16" t="s">
        <v>30</v>
      </c>
      <c r="F16">
        <v>1</v>
      </c>
      <c r="G16" s="7">
        <f>COUNTIFS(MSF[[#All],[Cut_off]],Summary!$G$2,MSF[[#All],[Code]],Sum[[#This Row],[Code]])</f>
        <v>0</v>
      </c>
    </row>
    <row r="17" spans="1:7" x14ac:dyDescent="0.3">
      <c r="A17" s="5" t="str">
        <f>VLOOKUP(Sum[[#This Row],[Tour Name]],RawData[#All],2,FALSE)&amp;"."&amp;TEXT(Sum[[#This Row],[Tour Date]],"ddmm")</f>
        <v>DD.MRVL.1408</v>
      </c>
      <c r="C17">
        <f t="shared" si="0"/>
        <v>13</v>
      </c>
      <c r="D17" s="2">
        <v>46248</v>
      </c>
      <c r="E17" t="s">
        <v>31</v>
      </c>
      <c r="F17">
        <v>1</v>
      </c>
      <c r="G17" s="7">
        <f>COUNTIFS(MSF[[#All],[Cut_off]],Summary!$G$2,MSF[[#All],[Code]],Sum[[#This Row],[Code]])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tabSelected="1" zoomScale="139" zoomScaleNormal="190" workbookViewId="0">
      <selection activeCell="A2" sqref="A2"/>
    </sheetView>
  </sheetViews>
  <sheetFormatPr defaultRowHeight="14.4" x14ac:dyDescent="0.3"/>
  <cols>
    <col min="1" max="1" width="16.33203125" style="5" customWidth="1"/>
    <col min="5" max="6" width="10.6640625" customWidth="1"/>
    <col min="7" max="7" width="39.109375" bestFit="1" customWidth="1"/>
    <col min="9" max="10" width="9.109375" customWidth="1"/>
    <col min="17" max="17" width="10.6640625" customWidth="1"/>
  </cols>
  <sheetData>
    <row r="1" spans="1:18" x14ac:dyDescent="0.3">
      <c r="A1" s="3" t="s">
        <v>74</v>
      </c>
      <c r="B1" s="3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</row>
    <row r="2" spans="1:18" x14ac:dyDescent="0.3">
      <c r="A2" s="5" t="str">
        <f>VLOOKUP(G2,'RawData'!$A$2:$B$17,2,FALSE)&amp;"."&amp;TEXT(F2,"DDMM")</f>
        <v>GY.MINI.0208</v>
      </c>
      <c r="B2" s="1">
        <f>F2-30</f>
        <v>46206</v>
      </c>
      <c r="F2" s="1">
        <v>46236</v>
      </c>
      <c r="G2" t="s">
        <v>17</v>
      </c>
      <c r="H2">
        <v>1</v>
      </c>
      <c r="I2" t="s">
        <v>18</v>
      </c>
      <c r="J2" t="s">
        <v>19</v>
      </c>
      <c r="K2" t="s">
        <v>20</v>
      </c>
      <c r="R2" t="b">
        <v>1</v>
      </c>
    </row>
    <row r="3" spans="1:18" x14ac:dyDescent="0.3">
      <c r="A3" s="5" t="str">
        <f>VLOOKUP(G3,'RawData'!$A$2:$B$17,2,FALSE)&amp;"."&amp;TEXT(F3,"DDMM")</f>
        <v>NR.SWGL.0308</v>
      </c>
      <c r="B3" s="1">
        <f t="shared" ref="B3:B14" si="0">F3-30</f>
        <v>46207</v>
      </c>
      <c r="F3" s="1">
        <v>46237</v>
      </c>
      <c r="G3" t="s">
        <v>21</v>
      </c>
      <c r="H3">
        <v>1</v>
      </c>
      <c r="I3" t="s">
        <v>18</v>
      </c>
      <c r="J3" t="s">
        <v>19</v>
      </c>
      <c r="K3" t="s">
        <v>20</v>
      </c>
      <c r="Q3" t="s">
        <v>22</v>
      </c>
      <c r="R3" t="b">
        <v>1</v>
      </c>
    </row>
    <row r="4" spans="1:18" x14ac:dyDescent="0.3">
      <c r="A4" s="5" t="str">
        <f>VLOOKUP(G4,'RawData'!$A$2:$B$17,2,FALSE)&amp;"."&amp;TEXT(F4,"DDMM")</f>
        <v>NR.EUCH.0408</v>
      </c>
      <c r="B4" s="1">
        <f t="shared" si="0"/>
        <v>46208</v>
      </c>
      <c r="F4" s="1">
        <v>46238</v>
      </c>
      <c r="G4" t="s">
        <v>23</v>
      </c>
      <c r="H4">
        <v>1</v>
      </c>
      <c r="I4" t="s">
        <v>18</v>
      </c>
      <c r="J4" t="s">
        <v>19</v>
      </c>
      <c r="K4" t="s">
        <v>29</v>
      </c>
      <c r="R4" t="b">
        <v>1</v>
      </c>
    </row>
    <row r="5" spans="1:18" x14ac:dyDescent="0.3">
      <c r="A5" s="5" t="str">
        <f>VLOOKUP(G5,'RawData'!$A$2:$B$17,2,FALSE)&amp;"."&amp;TEXT(F5,"DDMM")</f>
        <v>GY.MINI.0508</v>
      </c>
      <c r="B5" s="1">
        <f t="shared" si="0"/>
        <v>46209</v>
      </c>
      <c r="F5" s="1">
        <v>46239</v>
      </c>
      <c r="G5" t="s">
        <v>17</v>
      </c>
      <c r="H5">
        <v>1</v>
      </c>
      <c r="I5" t="s">
        <v>18</v>
      </c>
      <c r="J5" t="s">
        <v>19</v>
      </c>
      <c r="K5" t="s">
        <v>24</v>
      </c>
      <c r="R5" t="b">
        <v>1</v>
      </c>
    </row>
    <row r="6" spans="1:18" x14ac:dyDescent="0.3">
      <c r="A6" s="5" t="str">
        <f>VLOOKUP(G6,'RawData'!$A$2:$B$17,2,FALSE)&amp;"."&amp;TEXT(F6,"DDMM")</f>
        <v>NR.EUCH.0608</v>
      </c>
      <c r="B6" s="1">
        <f t="shared" si="0"/>
        <v>46210</v>
      </c>
      <c r="F6" s="1">
        <v>46240</v>
      </c>
      <c r="G6" t="s">
        <v>23</v>
      </c>
      <c r="H6">
        <v>1</v>
      </c>
      <c r="I6" t="s">
        <v>18</v>
      </c>
      <c r="J6" t="s">
        <v>19</v>
      </c>
      <c r="K6" t="s">
        <v>29</v>
      </c>
      <c r="R6" t="b">
        <v>0</v>
      </c>
    </row>
    <row r="7" spans="1:18" x14ac:dyDescent="0.3">
      <c r="A7" s="5" t="str">
        <f>VLOOKUP(G7,'RawData'!$A$2:$B$17,2,FALSE)&amp;"."&amp;TEXT(F7,"DDMM")</f>
        <v>GY.MGKE.0708</v>
      </c>
      <c r="B7" s="1">
        <f t="shared" si="0"/>
        <v>46211</v>
      </c>
      <c r="F7" s="1">
        <v>46241</v>
      </c>
      <c r="G7" t="s">
        <v>25</v>
      </c>
      <c r="H7">
        <v>1</v>
      </c>
      <c r="I7" t="s">
        <v>18</v>
      </c>
      <c r="J7" t="s">
        <v>19</v>
      </c>
      <c r="K7" t="s">
        <v>24</v>
      </c>
      <c r="R7" t="b">
        <v>1</v>
      </c>
    </row>
    <row r="8" spans="1:18" x14ac:dyDescent="0.3">
      <c r="A8" s="5" t="str">
        <f>VLOOKUP(G8,'RawData'!$A$2:$B$17,2,FALSE)&amp;"."&amp;TEXT(F8,"DDMM")</f>
        <v>NR.TAEU.0808</v>
      </c>
      <c r="B8" s="1">
        <f t="shared" si="0"/>
        <v>46212</v>
      </c>
      <c r="F8" s="1">
        <v>46242</v>
      </c>
      <c r="G8" t="s">
        <v>26</v>
      </c>
      <c r="H8">
        <v>1</v>
      </c>
      <c r="I8" t="s">
        <v>18</v>
      </c>
      <c r="J8" t="s">
        <v>19</v>
      </c>
      <c r="K8" t="s">
        <v>29</v>
      </c>
      <c r="R8" t="b">
        <v>0</v>
      </c>
    </row>
    <row r="9" spans="1:18" x14ac:dyDescent="0.3">
      <c r="A9" s="5" t="str">
        <f>VLOOKUP(G9,'RawData'!$A$2:$B$17,2,FALSE)&amp;"."&amp;TEXT(F9,"DDMM")</f>
        <v>NR.SWGL.0908</v>
      </c>
      <c r="B9" s="1">
        <f t="shared" si="0"/>
        <v>46213</v>
      </c>
      <c r="F9" s="1">
        <v>46243</v>
      </c>
      <c r="G9" t="s">
        <v>21</v>
      </c>
      <c r="H9">
        <v>1</v>
      </c>
      <c r="I9" t="s">
        <v>18</v>
      </c>
      <c r="J9" t="s">
        <v>19</v>
      </c>
      <c r="K9" t="s">
        <v>27</v>
      </c>
      <c r="Q9" t="s">
        <v>22</v>
      </c>
      <c r="R9" t="b">
        <v>1</v>
      </c>
    </row>
    <row r="10" spans="1:18" x14ac:dyDescent="0.3">
      <c r="A10" s="5" t="str">
        <f>VLOOKUP(G10,'RawData'!$A$2:$B$17,2,FALSE)&amp;"."&amp;TEXT(F10,"DDMM")</f>
        <v>DD.WHRL.1008</v>
      </c>
      <c r="B10" s="1">
        <f t="shared" si="0"/>
        <v>46214</v>
      </c>
      <c r="F10" s="1">
        <v>46244</v>
      </c>
      <c r="G10" t="s">
        <v>28</v>
      </c>
      <c r="H10">
        <v>1</v>
      </c>
      <c r="I10" t="s">
        <v>18</v>
      </c>
      <c r="J10" t="s">
        <v>19</v>
      </c>
      <c r="K10" t="s">
        <v>29</v>
      </c>
      <c r="Q10" t="s">
        <v>22</v>
      </c>
      <c r="R10" t="b">
        <v>1</v>
      </c>
    </row>
    <row r="11" spans="1:18" x14ac:dyDescent="0.3">
      <c r="A11" s="5" t="str">
        <f>VLOOKUP(G11,'RawData'!$A$2:$B$17,2,FALSE)&amp;"."&amp;TEXT(F11,"DDMM")</f>
        <v>GY.MINI.1108</v>
      </c>
      <c r="B11" s="1">
        <f t="shared" si="0"/>
        <v>46215</v>
      </c>
      <c r="F11" s="1">
        <v>46245</v>
      </c>
      <c r="G11" t="s">
        <v>17</v>
      </c>
      <c r="H11">
        <v>1</v>
      </c>
      <c r="I11" t="s">
        <v>18</v>
      </c>
      <c r="J11" t="s">
        <v>19</v>
      </c>
      <c r="K11" t="s">
        <v>20</v>
      </c>
      <c r="R11" t="b">
        <v>1</v>
      </c>
    </row>
    <row r="12" spans="1:18" x14ac:dyDescent="0.3">
      <c r="A12" s="5" t="str">
        <f>VLOOKUP(G12,'RawData'!$A$2:$B$17,2,FALSE)&amp;"."&amp;TEXT(F12,"DDMM")</f>
        <v>NR.EUCH.1208</v>
      </c>
      <c r="B12" s="1">
        <f t="shared" si="0"/>
        <v>46216</v>
      </c>
      <c r="F12" s="1">
        <v>46246</v>
      </c>
      <c r="G12" t="s">
        <v>23</v>
      </c>
      <c r="H12">
        <v>1</v>
      </c>
      <c r="I12" t="s">
        <v>18</v>
      </c>
      <c r="J12" t="s">
        <v>19</v>
      </c>
      <c r="K12" t="s">
        <v>29</v>
      </c>
      <c r="R12" t="b">
        <v>1</v>
      </c>
    </row>
    <row r="13" spans="1:18" x14ac:dyDescent="0.3">
      <c r="A13" s="5" t="str">
        <f>VLOOKUP(G13,'RawData'!$A$2:$B$17,2,FALSE)&amp;"."&amp;TEXT(F13,"DDMM")</f>
        <v>DD.FSME.1308</v>
      </c>
      <c r="B13" s="1">
        <f t="shared" si="0"/>
        <v>46217</v>
      </c>
      <c r="F13" s="1">
        <v>46247</v>
      </c>
      <c r="G13" t="s">
        <v>30</v>
      </c>
      <c r="H13">
        <v>1</v>
      </c>
      <c r="I13" t="s">
        <v>18</v>
      </c>
      <c r="J13" t="s">
        <v>19</v>
      </c>
      <c r="K13" t="s">
        <v>29</v>
      </c>
      <c r="R13" t="b">
        <v>0</v>
      </c>
    </row>
    <row r="14" spans="1:18" x14ac:dyDescent="0.3">
      <c r="A14" s="5" t="str">
        <f>VLOOKUP(G14,'RawData'!$A$2:$B$17,2,FALSE)&amp;"."&amp;TEXT(F14,"DDMM")</f>
        <v>DD.MRVL.1408</v>
      </c>
      <c r="B14" s="1">
        <f t="shared" si="0"/>
        <v>46218</v>
      </c>
      <c r="F14" s="1">
        <v>46248</v>
      </c>
      <c r="G14" t="s">
        <v>31</v>
      </c>
      <c r="H14">
        <v>1</v>
      </c>
      <c r="I14" t="s">
        <v>18</v>
      </c>
      <c r="J14" t="s">
        <v>19</v>
      </c>
      <c r="K14" t="s">
        <v>32</v>
      </c>
      <c r="Q14" t="s">
        <v>22</v>
      </c>
      <c r="R14" t="b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workbookViewId="0">
      <selection activeCell="B1" sqref="B1"/>
    </sheetView>
  </sheetViews>
  <sheetFormatPr defaultRowHeight="14.4" x14ac:dyDescent="0.3"/>
  <cols>
    <col min="1" max="1" width="15.77734375" bestFit="1" customWidth="1"/>
    <col min="2" max="2" width="9.21875" customWidth="1"/>
    <col min="5" max="5" width="11.33203125" customWidth="1"/>
    <col min="6" max="6" width="11.109375" customWidth="1"/>
    <col min="7" max="7" width="39.109375" bestFit="1" customWidth="1"/>
    <col min="9" max="10" width="9.77734375" customWidth="1"/>
    <col min="11" max="11" width="9" customWidth="1"/>
    <col min="12" max="12" width="9.44140625" customWidth="1"/>
    <col min="17" max="17" width="11.21875" customWidth="1"/>
    <col min="19" max="19" width="12.21875" customWidth="1"/>
  </cols>
  <sheetData>
    <row r="1" spans="1:20" x14ac:dyDescent="0.3">
      <c r="A1" s="5" t="s">
        <v>74</v>
      </c>
      <c r="B1" s="3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t="s">
        <v>33</v>
      </c>
      <c r="T1" t="s">
        <v>34</v>
      </c>
    </row>
    <row r="2" spans="1:20" x14ac:dyDescent="0.3">
      <c r="A2" s="5" t="str">
        <f>VLOOKUP(Louvre[[#This Row],[Tour Name]],RawData[#All],2,FALSE)&amp;"."&amp;TEXT(Louvre[[#This Row],[Tour Date]],"ddmm")</f>
        <v>GY.MINI.0208</v>
      </c>
      <c r="B2" s="1">
        <f t="shared" ref="B2:B14" si="0">F2-40</f>
        <v>46196</v>
      </c>
      <c r="F2" s="1">
        <v>46236</v>
      </c>
      <c r="G2" t="s">
        <v>17</v>
      </c>
      <c r="H2">
        <v>1</v>
      </c>
      <c r="I2" t="s">
        <v>18</v>
      </c>
      <c r="J2" t="s">
        <v>35</v>
      </c>
      <c r="K2" t="s">
        <v>36</v>
      </c>
      <c r="M2" t="s">
        <v>37</v>
      </c>
      <c r="N2" t="s">
        <v>38</v>
      </c>
      <c r="T2" t="b">
        <v>1</v>
      </c>
    </row>
    <row r="3" spans="1:20" x14ac:dyDescent="0.3">
      <c r="A3" s="5" t="str">
        <f>VLOOKUP(Louvre[[#This Row],[Tour Name]],RawData[#All],2,FALSE)&amp;"."&amp;TEXT(Louvre[[#This Row],[Tour Date]],"ddmm")</f>
        <v>NR.SWGL.0308</v>
      </c>
      <c r="B3" s="1">
        <f t="shared" si="0"/>
        <v>46197</v>
      </c>
      <c r="F3" s="1">
        <v>46237</v>
      </c>
      <c r="G3" t="s">
        <v>21</v>
      </c>
      <c r="H3">
        <v>1</v>
      </c>
      <c r="I3" t="s">
        <v>18</v>
      </c>
      <c r="J3" t="s">
        <v>35</v>
      </c>
      <c r="K3" t="s">
        <v>36</v>
      </c>
      <c r="T3" t="b">
        <v>0</v>
      </c>
    </row>
    <row r="4" spans="1:20" x14ac:dyDescent="0.3">
      <c r="A4" s="5" t="str">
        <f>VLOOKUP(Louvre[[#This Row],[Tour Name]],RawData[#All],2,FALSE)&amp;"."&amp;TEXT(Louvre[[#This Row],[Tour Date]],"ddmm")</f>
        <v>NR.EUCH.0408</v>
      </c>
      <c r="B4" s="1">
        <f t="shared" si="0"/>
        <v>46198</v>
      </c>
      <c r="F4" s="1">
        <v>46238</v>
      </c>
      <c r="G4" t="s">
        <v>23</v>
      </c>
      <c r="H4">
        <v>1</v>
      </c>
      <c r="I4" t="s">
        <v>18</v>
      </c>
      <c r="J4" t="s">
        <v>35</v>
      </c>
      <c r="K4" t="s">
        <v>36</v>
      </c>
      <c r="T4" t="b">
        <v>1</v>
      </c>
    </row>
    <row r="5" spans="1:20" x14ac:dyDescent="0.3">
      <c r="A5" s="5" t="str">
        <f>VLOOKUP(Louvre[[#This Row],[Tour Name]],RawData[#All],2,FALSE)&amp;"."&amp;TEXT(Louvre[[#This Row],[Tour Date]],"ddmm")</f>
        <v>GY.MINI.0508</v>
      </c>
      <c r="B5" s="1">
        <f t="shared" si="0"/>
        <v>46199</v>
      </c>
      <c r="F5" s="1">
        <v>46239</v>
      </c>
      <c r="G5" t="s">
        <v>17</v>
      </c>
      <c r="H5">
        <v>1</v>
      </c>
      <c r="I5" t="s">
        <v>18</v>
      </c>
      <c r="J5" t="s">
        <v>35</v>
      </c>
      <c r="K5" t="s">
        <v>36</v>
      </c>
      <c r="M5" t="s">
        <v>39</v>
      </c>
      <c r="N5">
        <v>79043437</v>
      </c>
      <c r="T5" t="b">
        <v>1</v>
      </c>
    </row>
    <row r="6" spans="1:20" x14ac:dyDescent="0.3">
      <c r="A6" s="5" t="str">
        <f>VLOOKUP(Louvre[[#This Row],[Tour Name]],RawData[#All],2,FALSE)&amp;"."&amp;TEXT(Louvre[[#This Row],[Tour Date]],"ddmm")</f>
        <v>NR.EUCH.0608</v>
      </c>
      <c r="B6" s="1">
        <f t="shared" si="0"/>
        <v>46200</v>
      </c>
      <c r="F6" s="1">
        <v>46240</v>
      </c>
      <c r="G6" t="s">
        <v>23</v>
      </c>
      <c r="H6">
        <v>1</v>
      </c>
      <c r="I6" t="s">
        <v>18</v>
      </c>
      <c r="J6" t="s">
        <v>35</v>
      </c>
      <c r="K6" t="s">
        <v>36</v>
      </c>
      <c r="T6" t="b">
        <v>0</v>
      </c>
    </row>
    <row r="7" spans="1:20" x14ac:dyDescent="0.3">
      <c r="A7" s="5" t="str">
        <f>VLOOKUP(Louvre[[#This Row],[Tour Name]],RawData[#All],2,FALSE)&amp;"."&amp;TEXT(Louvre[[#This Row],[Tour Date]],"ddmm")</f>
        <v>GY.MGKE.0708</v>
      </c>
      <c r="B7" s="1">
        <f t="shared" si="0"/>
        <v>46201</v>
      </c>
      <c r="F7" s="1">
        <v>46241</v>
      </c>
      <c r="G7" t="s">
        <v>25</v>
      </c>
      <c r="H7">
        <v>1</v>
      </c>
      <c r="I7" t="s">
        <v>18</v>
      </c>
      <c r="J7" t="s">
        <v>35</v>
      </c>
      <c r="K7" t="s">
        <v>36</v>
      </c>
      <c r="M7" t="s">
        <v>40</v>
      </c>
      <c r="N7">
        <v>79043461</v>
      </c>
      <c r="T7" t="b">
        <v>1</v>
      </c>
    </row>
    <row r="8" spans="1:20" x14ac:dyDescent="0.3">
      <c r="A8" s="5" t="str">
        <f>VLOOKUP(Louvre[[#This Row],[Tour Name]],RawData[#All],2,FALSE)&amp;"."&amp;TEXT(Louvre[[#This Row],[Tour Date]],"ddmm")</f>
        <v>NR.TAEU.0808</v>
      </c>
      <c r="B8" s="1">
        <f t="shared" si="0"/>
        <v>46202</v>
      </c>
      <c r="F8" s="1">
        <v>46242</v>
      </c>
      <c r="G8" t="s">
        <v>26</v>
      </c>
      <c r="H8">
        <v>1</v>
      </c>
      <c r="I8" t="s">
        <v>18</v>
      </c>
      <c r="J8" t="s">
        <v>35</v>
      </c>
      <c r="K8" t="s">
        <v>36</v>
      </c>
      <c r="M8" t="s">
        <v>41</v>
      </c>
      <c r="N8">
        <v>79031584</v>
      </c>
      <c r="S8" t="s">
        <v>22</v>
      </c>
      <c r="T8" t="b">
        <v>1</v>
      </c>
    </row>
    <row r="9" spans="1:20" x14ac:dyDescent="0.3">
      <c r="A9" s="5" t="str">
        <f>VLOOKUP(Louvre[[#This Row],[Tour Name]],RawData[#All],2,FALSE)&amp;"."&amp;TEXT(Louvre[[#This Row],[Tour Date]],"ddmm")</f>
        <v>NR.SWGL.0908</v>
      </c>
      <c r="B9" s="1">
        <f t="shared" si="0"/>
        <v>46203</v>
      </c>
      <c r="F9" s="1">
        <v>46243</v>
      </c>
      <c r="G9" t="s">
        <v>21</v>
      </c>
      <c r="H9">
        <v>1</v>
      </c>
      <c r="I9" t="s">
        <v>18</v>
      </c>
      <c r="J9" t="s">
        <v>35</v>
      </c>
      <c r="K9" t="s">
        <v>36</v>
      </c>
      <c r="T9" t="b">
        <v>1</v>
      </c>
    </row>
    <row r="10" spans="1:20" x14ac:dyDescent="0.3">
      <c r="A10" s="5" t="str">
        <f>VLOOKUP(Louvre[[#This Row],[Tour Name]],RawData[#All],2,FALSE)&amp;"."&amp;TEXT(Louvre[[#This Row],[Tour Date]],"ddmm")</f>
        <v>DD.WHRL.1008</v>
      </c>
      <c r="B10" s="1">
        <f t="shared" si="0"/>
        <v>46204</v>
      </c>
      <c r="F10" s="1">
        <v>46244</v>
      </c>
      <c r="G10" t="s">
        <v>28</v>
      </c>
      <c r="H10">
        <v>1</v>
      </c>
      <c r="I10" t="s">
        <v>18</v>
      </c>
      <c r="J10" t="s">
        <v>35</v>
      </c>
      <c r="K10" t="s">
        <v>36</v>
      </c>
      <c r="T10" t="b">
        <v>0</v>
      </c>
    </row>
    <row r="11" spans="1:20" x14ac:dyDescent="0.3">
      <c r="A11" s="5" t="str">
        <f>VLOOKUP(Louvre[[#This Row],[Tour Name]],RawData[#All],2,FALSE)&amp;"."&amp;TEXT(Louvre[[#This Row],[Tour Date]],"ddmm")</f>
        <v>GY.MINI.1108</v>
      </c>
      <c r="B11" s="1">
        <f t="shared" si="0"/>
        <v>46205</v>
      </c>
      <c r="F11" s="1">
        <v>46245</v>
      </c>
      <c r="G11" t="s">
        <v>17</v>
      </c>
      <c r="H11">
        <v>1</v>
      </c>
      <c r="I11" t="s">
        <v>18</v>
      </c>
      <c r="J11" t="s">
        <v>35</v>
      </c>
      <c r="K11" t="s">
        <v>36</v>
      </c>
      <c r="M11" t="s">
        <v>42</v>
      </c>
      <c r="N11">
        <v>79030520</v>
      </c>
      <c r="S11" t="s">
        <v>22</v>
      </c>
      <c r="T11" t="b">
        <v>1</v>
      </c>
    </row>
    <row r="12" spans="1:20" x14ac:dyDescent="0.3">
      <c r="A12" s="5" t="str">
        <f>VLOOKUP(Louvre[[#This Row],[Tour Name]],RawData[#All],2,FALSE)&amp;"."&amp;TEXT(Louvre[[#This Row],[Tour Date]],"ddmm")</f>
        <v>NR.EUCH.1208</v>
      </c>
      <c r="B12" s="1">
        <f t="shared" si="0"/>
        <v>46206</v>
      </c>
      <c r="F12" s="1">
        <v>46246</v>
      </c>
      <c r="G12" t="s">
        <v>23</v>
      </c>
      <c r="H12">
        <v>1</v>
      </c>
      <c r="I12" t="s">
        <v>18</v>
      </c>
      <c r="J12" t="s">
        <v>35</v>
      </c>
      <c r="K12" t="s">
        <v>36</v>
      </c>
      <c r="M12" t="s">
        <v>43</v>
      </c>
      <c r="N12">
        <v>79043231</v>
      </c>
      <c r="T12" t="b">
        <v>1</v>
      </c>
    </row>
    <row r="13" spans="1:20" x14ac:dyDescent="0.3">
      <c r="A13" s="5" t="str">
        <f>VLOOKUP(Louvre[[#This Row],[Tour Name]],RawData[#All],2,FALSE)&amp;"."&amp;TEXT(Louvre[[#This Row],[Tour Date]],"ddmm")</f>
        <v>DD.FSME.1308</v>
      </c>
      <c r="B13" s="1">
        <f t="shared" si="0"/>
        <v>46207</v>
      </c>
      <c r="F13" s="1">
        <v>46247</v>
      </c>
      <c r="G13" t="s">
        <v>30</v>
      </c>
      <c r="H13">
        <v>1</v>
      </c>
      <c r="I13" t="s">
        <v>18</v>
      </c>
      <c r="J13" t="s">
        <v>35</v>
      </c>
      <c r="K13" t="s">
        <v>36</v>
      </c>
      <c r="T13" t="b">
        <v>0</v>
      </c>
    </row>
    <row r="14" spans="1:20" x14ac:dyDescent="0.3">
      <c r="A14" s="5" t="str">
        <f>VLOOKUP(Louvre[[#This Row],[Tour Name]],RawData[#All],2,FALSE)&amp;"."&amp;TEXT(Louvre[[#This Row],[Tour Date]],"ddmm")</f>
        <v>DD.MRVL.1408</v>
      </c>
      <c r="B14" s="1">
        <f t="shared" si="0"/>
        <v>46208</v>
      </c>
      <c r="F14" s="1">
        <v>46248</v>
      </c>
      <c r="G14" t="s">
        <v>31</v>
      </c>
      <c r="H14">
        <v>1</v>
      </c>
      <c r="I14" t="s">
        <v>18</v>
      </c>
      <c r="J14" t="s">
        <v>35</v>
      </c>
      <c r="K14" t="s">
        <v>36</v>
      </c>
      <c r="T14" t="b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zoomScale="162" workbookViewId="0">
      <selection activeCell="B2" sqref="B2"/>
    </sheetView>
  </sheetViews>
  <sheetFormatPr defaultRowHeight="14.4" x14ac:dyDescent="0.3"/>
  <cols>
    <col min="1" max="1" width="15.77734375" bestFit="1" customWidth="1"/>
    <col min="2" max="2" width="9.5546875" bestFit="1" customWidth="1"/>
    <col min="3" max="3" width="8.44140625" bestFit="1" customWidth="1"/>
    <col min="4" max="4" width="9" bestFit="1" customWidth="1"/>
    <col min="5" max="5" width="11.6640625" bestFit="1" customWidth="1"/>
    <col min="6" max="6" width="11.44140625" style="2" bestFit="1" customWidth="1"/>
    <col min="7" max="7" width="39.109375" bestFit="1" customWidth="1"/>
    <col min="8" max="8" width="7.21875" bestFit="1" customWidth="1"/>
    <col min="9" max="10" width="10.109375" bestFit="1" customWidth="1"/>
    <col min="11" max="11" width="15.33203125" bestFit="1" customWidth="1"/>
    <col min="12" max="12" width="9.77734375" bestFit="1" customWidth="1"/>
    <col min="13" max="13" width="80.6640625" bestFit="1" customWidth="1"/>
    <col min="14" max="14" width="6.44140625" bestFit="1" customWidth="1"/>
    <col min="15" max="15" width="6.21875" bestFit="1" customWidth="1"/>
    <col min="16" max="16" width="8.6640625" bestFit="1" customWidth="1"/>
    <col min="17" max="17" width="11.5546875" bestFit="1" customWidth="1"/>
    <col min="18" max="18" width="7.21875" bestFit="1" customWidth="1"/>
    <col min="19" max="19" width="12.5546875" bestFit="1" customWidth="1"/>
    <col min="20" max="20" width="8.21875" bestFit="1" customWidth="1"/>
  </cols>
  <sheetData>
    <row r="1" spans="1:20" x14ac:dyDescent="0.3">
      <c r="A1" t="s">
        <v>74</v>
      </c>
      <c r="B1" s="3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t="s">
        <v>33</v>
      </c>
      <c r="T1" t="s">
        <v>34</v>
      </c>
    </row>
    <row r="2" spans="1:20" x14ac:dyDescent="0.3">
      <c r="A2" s="5" t="str">
        <f>VLOOKUP(Accor[[#This Row],[Tour Name]],RawData[#All],2,FALSE)&amp;"."&amp;TEXT(Accor[[#This Row],[Tour Date]],"ddmm")</f>
        <v>GY.MINI.0208</v>
      </c>
      <c r="B2" s="2">
        <f>F2-30</f>
        <v>46206</v>
      </c>
      <c r="E2" s="6"/>
      <c r="F2" s="2">
        <v>46236</v>
      </c>
      <c r="G2" t="s">
        <v>17</v>
      </c>
      <c r="H2">
        <v>1</v>
      </c>
      <c r="I2" t="s">
        <v>18</v>
      </c>
      <c r="J2" t="s">
        <v>44</v>
      </c>
      <c r="K2" t="s">
        <v>45</v>
      </c>
      <c r="M2" t="s">
        <v>46</v>
      </c>
      <c r="T2" t="b">
        <v>1</v>
      </c>
    </row>
    <row r="3" spans="1:20" x14ac:dyDescent="0.3">
      <c r="A3" s="5" t="str">
        <f>VLOOKUP(Accor[[#This Row],[Tour Name]],RawData[#All],2,FALSE)&amp;"."&amp;TEXT(Accor[[#This Row],[Tour Date]],"ddmm")</f>
        <v>NR.SWGL.0308</v>
      </c>
      <c r="B3" s="2">
        <f t="shared" ref="B3:B14" si="0">F3-30</f>
        <v>46207</v>
      </c>
      <c r="F3" s="2">
        <v>46237</v>
      </c>
      <c r="G3" t="s">
        <v>21</v>
      </c>
      <c r="H3">
        <v>1</v>
      </c>
      <c r="I3" t="s">
        <v>18</v>
      </c>
      <c r="J3" t="s">
        <v>44</v>
      </c>
      <c r="K3" t="s">
        <v>47</v>
      </c>
      <c r="T3" t="b">
        <v>0</v>
      </c>
    </row>
    <row r="4" spans="1:20" x14ac:dyDescent="0.3">
      <c r="A4" s="5" t="str">
        <f>VLOOKUP(Accor[[#This Row],[Tour Name]],RawData[#All],2,FALSE)&amp;"."&amp;TEXT(Accor[[#This Row],[Tour Date]],"ddmm")</f>
        <v>NR.EUCH.0408</v>
      </c>
      <c r="B4" s="2">
        <f t="shared" si="0"/>
        <v>46208</v>
      </c>
      <c r="F4" s="2">
        <v>46238</v>
      </c>
      <c r="G4" t="s">
        <v>23</v>
      </c>
      <c r="H4">
        <v>1</v>
      </c>
      <c r="I4" t="s">
        <v>18</v>
      </c>
      <c r="J4" t="s">
        <v>44</v>
      </c>
      <c r="K4" t="s">
        <v>45</v>
      </c>
      <c r="M4" t="s">
        <v>46</v>
      </c>
      <c r="T4" t="b">
        <v>1</v>
      </c>
    </row>
    <row r="5" spans="1:20" x14ac:dyDescent="0.3">
      <c r="A5" s="5" t="str">
        <f>VLOOKUP(Accor[[#This Row],[Tour Name]],RawData[#All],2,FALSE)&amp;"."&amp;TEXT(Accor[[#This Row],[Tour Date]],"ddmm")</f>
        <v>GY.MINI.0508</v>
      </c>
      <c r="B5" s="2">
        <f t="shared" si="0"/>
        <v>46209</v>
      </c>
      <c r="F5" s="2">
        <v>46239</v>
      </c>
      <c r="G5" t="s">
        <v>17</v>
      </c>
      <c r="H5">
        <v>1</v>
      </c>
      <c r="I5" t="s">
        <v>18</v>
      </c>
      <c r="J5" t="s">
        <v>44</v>
      </c>
      <c r="K5" t="s">
        <v>47</v>
      </c>
      <c r="T5" t="b">
        <v>1</v>
      </c>
    </row>
    <row r="6" spans="1:20" x14ac:dyDescent="0.3">
      <c r="A6" s="5" t="str">
        <f>VLOOKUP(Accor[[#This Row],[Tour Name]],RawData[#All],2,FALSE)&amp;"."&amp;TEXT(Accor[[#This Row],[Tour Date]],"ddmm")</f>
        <v>NR.EUCH.0608</v>
      </c>
      <c r="B6" s="2">
        <f t="shared" si="0"/>
        <v>46210</v>
      </c>
      <c r="F6" s="2">
        <v>46240</v>
      </c>
      <c r="G6" t="s">
        <v>23</v>
      </c>
      <c r="H6">
        <v>1</v>
      </c>
      <c r="I6" t="s">
        <v>18</v>
      </c>
      <c r="J6" t="s">
        <v>44</v>
      </c>
      <c r="K6" t="s">
        <v>45</v>
      </c>
      <c r="M6" t="s">
        <v>48</v>
      </c>
      <c r="T6" t="b">
        <v>0</v>
      </c>
    </row>
    <row r="7" spans="1:20" x14ac:dyDescent="0.3">
      <c r="A7" s="5" t="str">
        <f>VLOOKUP(Accor[[#This Row],[Tour Name]],RawData[#All],2,FALSE)&amp;"."&amp;TEXT(Accor[[#This Row],[Tour Date]],"ddmm")</f>
        <v>GY.MGKE.0708</v>
      </c>
      <c r="B7" s="2">
        <f t="shared" si="0"/>
        <v>46211</v>
      </c>
      <c r="F7" s="2">
        <v>46241</v>
      </c>
      <c r="G7" t="s">
        <v>25</v>
      </c>
      <c r="H7">
        <v>1</v>
      </c>
      <c r="I7" t="s">
        <v>18</v>
      </c>
      <c r="J7" t="s">
        <v>44</v>
      </c>
      <c r="K7" t="s">
        <v>47</v>
      </c>
      <c r="T7" t="b">
        <v>1</v>
      </c>
    </row>
    <row r="8" spans="1:20" x14ac:dyDescent="0.3">
      <c r="A8" s="5" t="str">
        <f>VLOOKUP(Accor[[#This Row],[Tour Name]],RawData[#All],2,FALSE)&amp;"."&amp;TEXT(Accor[[#This Row],[Tour Date]],"ddmm")</f>
        <v>NR.TAEU.0808</v>
      </c>
      <c r="B8" s="2">
        <f t="shared" si="0"/>
        <v>46212</v>
      </c>
      <c r="F8" s="2">
        <v>46242</v>
      </c>
      <c r="G8" t="s">
        <v>26</v>
      </c>
      <c r="H8">
        <v>1</v>
      </c>
      <c r="I8" t="s">
        <v>18</v>
      </c>
      <c r="J8" t="s">
        <v>44</v>
      </c>
      <c r="K8" t="s">
        <v>45</v>
      </c>
      <c r="M8" t="s">
        <v>48</v>
      </c>
      <c r="T8" t="b">
        <v>0</v>
      </c>
    </row>
    <row r="9" spans="1:20" x14ac:dyDescent="0.3">
      <c r="A9" s="5" t="str">
        <f>VLOOKUP(Accor[[#This Row],[Tour Name]],RawData[#All],2,FALSE)&amp;"."&amp;TEXT(Accor[[#This Row],[Tour Date]],"ddmm")</f>
        <v>NR.SWGL.0908</v>
      </c>
      <c r="B9" s="2">
        <f t="shared" si="0"/>
        <v>46213</v>
      </c>
      <c r="F9" s="2">
        <v>46243</v>
      </c>
      <c r="G9" t="s">
        <v>21</v>
      </c>
      <c r="H9">
        <v>1</v>
      </c>
      <c r="I9" t="s">
        <v>18</v>
      </c>
      <c r="J9" t="s">
        <v>44</v>
      </c>
      <c r="K9" t="s">
        <v>47</v>
      </c>
      <c r="T9" t="b">
        <v>1</v>
      </c>
    </row>
    <row r="10" spans="1:20" x14ac:dyDescent="0.3">
      <c r="A10" s="5" t="str">
        <f>VLOOKUP(Accor[[#This Row],[Tour Name]],RawData[#All],2,FALSE)&amp;"."&amp;TEXT(Accor[[#This Row],[Tour Date]],"ddmm")</f>
        <v>DD.WHRL.1008</v>
      </c>
      <c r="B10" s="2">
        <f t="shared" si="0"/>
        <v>46214</v>
      </c>
      <c r="F10" s="2">
        <v>46244</v>
      </c>
      <c r="G10" t="s">
        <v>28</v>
      </c>
      <c r="H10">
        <v>1</v>
      </c>
      <c r="I10" t="s">
        <v>18</v>
      </c>
      <c r="J10" t="s">
        <v>44</v>
      </c>
      <c r="K10" t="s">
        <v>45</v>
      </c>
      <c r="M10" t="s">
        <v>46</v>
      </c>
      <c r="T10" t="b">
        <v>0</v>
      </c>
    </row>
    <row r="11" spans="1:20" x14ac:dyDescent="0.3">
      <c r="A11" s="5" t="str">
        <f>VLOOKUP(Accor[[#This Row],[Tour Name]],RawData[#All],2,FALSE)&amp;"."&amp;TEXT(Accor[[#This Row],[Tour Date]],"ddmm")</f>
        <v>GY.MINI.1108</v>
      </c>
      <c r="B11" s="2">
        <f t="shared" si="0"/>
        <v>46215</v>
      </c>
      <c r="F11" s="2">
        <v>46245</v>
      </c>
      <c r="G11" t="s">
        <v>17</v>
      </c>
      <c r="H11">
        <v>1</v>
      </c>
      <c r="I11" t="s">
        <v>18</v>
      </c>
      <c r="J11" t="s">
        <v>44</v>
      </c>
      <c r="K11" t="s">
        <v>45</v>
      </c>
      <c r="M11" t="s">
        <v>49</v>
      </c>
      <c r="T11" t="b">
        <v>1</v>
      </c>
    </row>
    <row r="12" spans="1:20" x14ac:dyDescent="0.3">
      <c r="A12" s="5" t="str">
        <f>VLOOKUP(Accor[[#This Row],[Tour Name]],RawData[#All],2,FALSE)&amp;"."&amp;TEXT(Accor[[#This Row],[Tour Date]],"ddmm")</f>
        <v>NR.EUCH.1208</v>
      </c>
      <c r="B12" s="2">
        <f t="shared" si="0"/>
        <v>46216</v>
      </c>
      <c r="F12" s="2">
        <v>46246</v>
      </c>
      <c r="G12" t="s">
        <v>23</v>
      </c>
      <c r="H12">
        <v>1</v>
      </c>
      <c r="I12" t="s">
        <v>18</v>
      </c>
      <c r="J12" t="s">
        <v>44</v>
      </c>
      <c r="K12" t="s">
        <v>45</v>
      </c>
      <c r="T12" t="b">
        <v>1</v>
      </c>
    </row>
    <row r="13" spans="1:20" x14ac:dyDescent="0.3">
      <c r="A13" s="5" t="str">
        <f>VLOOKUP(Accor[[#This Row],[Tour Name]],RawData[#All],2,FALSE)&amp;"."&amp;TEXT(Accor[[#This Row],[Tour Date]],"ddmm")</f>
        <v>DD.FSME.1308</v>
      </c>
      <c r="B13" s="2">
        <f t="shared" si="0"/>
        <v>46217</v>
      </c>
      <c r="F13" s="2">
        <v>46247</v>
      </c>
      <c r="G13" t="s">
        <v>30</v>
      </c>
      <c r="H13">
        <v>1</v>
      </c>
      <c r="I13" t="s">
        <v>18</v>
      </c>
      <c r="J13" t="s">
        <v>44</v>
      </c>
      <c r="K13" t="s">
        <v>45</v>
      </c>
      <c r="T13" t="b">
        <v>0</v>
      </c>
    </row>
    <row r="14" spans="1:20" x14ac:dyDescent="0.3">
      <c r="A14" s="5" t="str">
        <f>VLOOKUP(Accor[[#This Row],[Tour Name]],RawData[#All],2,FALSE)&amp;"."&amp;TEXT(Accor[[#This Row],[Tour Date]],"ddmm")</f>
        <v>DD.MRVL.1408</v>
      </c>
      <c r="B14" s="2">
        <f t="shared" si="0"/>
        <v>46218</v>
      </c>
      <c r="F14" s="2">
        <v>46248</v>
      </c>
      <c r="G14" t="s">
        <v>31</v>
      </c>
      <c r="H14">
        <v>1</v>
      </c>
      <c r="I14" t="s">
        <v>18</v>
      </c>
      <c r="J14" t="s">
        <v>44</v>
      </c>
      <c r="K14" t="s">
        <v>45</v>
      </c>
      <c r="T14" t="b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A6" sqref="A6"/>
    </sheetView>
  </sheetViews>
  <sheetFormatPr defaultRowHeight="14.4" x14ac:dyDescent="0.3"/>
  <cols>
    <col min="1" max="1" width="41.88671875" bestFit="1" customWidth="1"/>
    <col min="2" max="2" width="10.44140625" customWidth="1"/>
  </cols>
  <sheetData>
    <row r="1" spans="1:2" x14ac:dyDescent="0.3">
      <c r="A1" t="s">
        <v>75</v>
      </c>
      <c r="B1" t="s">
        <v>76</v>
      </c>
    </row>
    <row r="2" spans="1:2" x14ac:dyDescent="0.3">
      <c r="A2" t="s">
        <v>50</v>
      </c>
      <c r="B2" t="s">
        <v>51</v>
      </c>
    </row>
    <row r="3" spans="1:2" x14ac:dyDescent="0.3">
      <c r="A3" t="s">
        <v>52</v>
      </c>
      <c r="B3" t="s">
        <v>53</v>
      </c>
    </row>
    <row r="4" spans="1:2" x14ac:dyDescent="0.3">
      <c r="A4" t="s">
        <v>54</v>
      </c>
      <c r="B4" t="s">
        <v>55</v>
      </c>
    </row>
    <row r="5" spans="1:2" x14ac:dyDescent="0.3">
      <c r="A5" t="s">
        <v>56</v>
      </c>
      <c r="B5" t="s">
        <v>57</v>
      </c>
    </row>
    <row r="6" spans="1:2" x14ac:dyDescent="0.3">
      <c r="A6" t="s">
        <v>58</v>
      </c>
      <c r="B6" t="s">
        <v>59</v>
      </c>
    </row>
    <row r="7" spans="1:2" x14ac:dyDescent="0.3">
      <c r="A7" t="s">
        <v>30</v>
      </c>
      <c r="B7" t="s">
        <v>60</v>
      </c>
    </row>
    <row r="8" spans="1:2" x14ac:dyDescent="0.3">
      <c r="A8" t="s">
        <v>61</v>
      </c>
      <c r="B8" t="s">
        <v>62</v>
      </c>
    </row>
    <row r="9" spans="1:2" x14ac:dyDescent="0.3">
      <c r="A9" t="s">
        <v>31</v>
      </c>
      <c r="B9" t="s">
        <v>63</v>
      </c>
    </row>
    <row r="10" spans="1:2" x14ac:dyDescent="0.3">
      <c r="A10" t="s">
        <v>64</v>
      </c>
      <c r="B10" t="s">
        <v>65</v>
      </c>
    </row>
    <row r="11" spans="1:2" x14ac:dyDescent="0.3">
      <c r="A11" t="s">
        <v>28</v>
      </c>
      <c r="B11" t="s">
        <v>66</v>
      </c>
    </row>
    <row r="12" spans="1:2" x14ac:dyDescent="0.3">
      <c r="A12" t="s">
        <v>67</v>
      </c>
      <c r="B12" t="s">
        <v>68</v>
      </c>
    </row>
    <row r="13" spans="1:2" x14ac:dyDescent="0.3">
      <c r="A13" t="s">
        <v>25</v>
      </c>
      <c r="B13" t="s">
        <v>69</v>
      </c>
    </row>
    <row r="14" spans="1:2" x14ac:dyDescent="0.3">
      <c r="A14" t="s">
        <v>17</v>
      </c>
      <c r="B14" t="s">
        <v>70</v>
      </c>
    </row>
    <row r="15" spans="1:2" x14ac:dyDescent="0.3">
      <c r="A15" t="s">
        <v>23</v>
      </c>
      <c r="B15" t="s">
        <v>71</v>
      </c>
    </row>
    <row r="16" spans="1:2" x14ac:dyDescent="0.3">
      <c r="A16" t="s">
        <v>21</v>
      </c>
      <c r="B16" t="s">
        <v>72</v>
      </c>
    </row>
    <row r="17" spans="1:2" x14ac:dyDescent="0.3">
      <c r="A17" t="s">
        <v>26</v>
      </c>
      <c r="B17" t="s">
        <v>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MSF</vt:lpstr>
      <vt:lpstr>Louvre</vt:lpstr>
      <vt:lpstr>Accor</vt:lpstr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2026-07-15T07:16:45Z</dcterms:modified>
</cp:coreProperties>
</file>