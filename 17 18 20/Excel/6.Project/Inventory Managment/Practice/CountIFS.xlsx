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6.Project\Inventory Managment\Practice\"/>
    </mc:Choice>
  </mc:AlternateContent>
  <bookViews>
    <workbookView xWindow="0" yWindow="0" windowWidth="23040" windowHeight="7056"/>
  </bookViews>
  <sheets>
    <sheet name="Sheet3" sheetId="3" r:id="rId1"/>
    <sheet name="msf" sheetId="1" r:id="rId2"/>
    <sheet name="Louvre" sheetId="4" r:id="rId3"/>
  </sheets>
  <definedNames>
    <definedName name="_xlnm._FilterDatabase" localSheetId="1" hidden="1">msf!$L$1:$M$12</definedName>
  </definedNames>
  <calcPr calcId="162913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3" l="1"/>
  <c r="L18" i="3"/>
  <c r="L17" i="3"/>
  <c r="L16" i="3"/>
  <c r="K19" i="3"/>
  <c r="K18" i="3"/>
  <c r="K17" i="3"/>
  <c r="K16" i="3"/>
  <c r="L8" i="3"/>
  <c r="L7" i="3"/>
  <c r="L6" i="3"/>
  <c r="L5" i="3"/>
  <c r="L4" i="3"/>
</calcChain>
</file>

<file path=xl/sharedStrings.xml><?xml version="1.0" encoding="utf-8"?>
<sst xmlns="http://schemas.openxmlformats.org/spreadsheetml/2006/main" count="48" uniqueCount="9">
  <si>
    <t>Code</t>
  </si>
  <si>
    <t>Cut_off</t>
  </si>
  <si>
    <t>GY.MINI.1108</t>
  </si>
  <si>
    <t>NR.EUCH.1208</t>
  </si>
  <si>
    <t>DD.FSME.1308</t>
  </si>
  <si>
    <t>DD.MRVL.1408</t>
  </si>
  <si>
    <t>Grand Total</t>
  </si>
  <si>
    <t>Count of Cut_off</t>
  </si>
  <si>
    <t>countifs(CriteriaRange_01,Cri_01,CriteriaRange_02,Cri_02)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</si>
</sst>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/yy"/>
    <numFmt numFmtId="166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14">
    <xf numFmtId="0" fontId="0" fillId="0" borderId="0" xfId="0"/>
    <xf numFmtId="164" fontId="0" fillId="3" borderId="1" xfId="0" applyNumberFormat="1" applyFont="1" applyFill="1" applyBorder="1"/>
    <xf numFmtId="0" fontId="0" fillId="0" borderId="0" xfId="0" pivotButton="1"/>
    <xf numFmtId="164" fontId="0" fillId="0" borderId="0" xfId="0" applyNumberFormat="1"/>
    <xf numFmtId="0" fontId="3" fillId="0" borderId="2" xfId="0" applyFont="1" applyBorder="1"/>
    <xf numFmtId="0" fontId="0" fillId="0" borderId="0" xfId="0" applyNumberFormat="1"/>
    <xf numFmtId="0" fontId="3" fillId="4" borderId="2" xfId="0" applyFont="1" applyFill="1" applyBorder="1"/>
    <xf numFmtId="0" fontId="6" fillId="0" borderId="0" xfId="0" applyFont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2" fillId="2" borderId="3" xfId="2" applyFont="1" applyFill="1" applyBorder="1"/>
    <xf numFmtId="0" fontId="5" fillId="3" borderId="4" xfId="0" applyFont="1" applyFill="1" applyBorder="1"/>
    <xf numFmtId="164" fontId="0" fillId="3" borderId="4" xfId="0" applyNumberFormat="1" applyFont="1" applyFill="1" applyBorder="1"/>
    <xf numFmtId="166" fontId="0" fillId="0" borderId="0" xfId="1" applyNumberFormat="1" applyFont="1"/>
  </cellXfs>
  <cellStyles count="3">
    <cellStyle name="Accent2" xfId="2" builtinId="33"/>
    <cellStyle name="Comma" xfId="1" builtinId="3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left style="thin">
          <color theme="5" tint="0.39997558519241921"/>
        </left>
        <top style="thin">
          <color theme="5" tint="0.39997558519241921"/>
        </top>
        <bottom style="thin">
          <color theme="5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219.450109027777" createdVersion="6" refreshedVersion="6" minRefreshableVersion="3" recordCount="11">
  <cacheSource type="worksheet">
    <worksheetSource ref="L1:M12" sheet="msf"/>
  </cacheSource>
  <cacheFields count="2">
    <cacheField name="Code" numFmtId="0">
      <sharedItems count="4">
        <s v="DD.FSME.1308"/>
        <s v="DD.MRVL.1408"/>
        <s v="GY.MINI.1108"/>
        <s v="NR.EUCH.1208"/>
      </sharedItems>
    </cacheField>
    <cacheField name="Cut_off" numFmtId="164">
      <sharedItems containsSemiMixedTypes="0" containsNonDate="0" containsDate="1" containsString="0" minDate="2026-07-16T00:00:00" maxDate="2026-07-18T00:00:00" count="2">
        <d v="2026-07-16T00:00:00"/>
        <d v="2026-07-17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</r>
  <r>
    <x v="0"/>
    <x v="0"/>
  </r>
  <r>
    <x v="0"/>
    <x v="1"/>
  </r>
  <r>
    <x v="1"/>
    <x v="0"/>
  </r>
  <r>
    <x v="1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D9" firstHeaderRow="1" firstDataRow="2" firstDataCol="1"/>
  <pivotFields count="2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numFmtId="164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t_off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MSF" displayName="MSF" ref="L1:M12" totalsRowShown="0" headerRowDxfId="0" headerRowBorderDxfId="4" tableBorderDxfId="5" totalsRowBorderDxfId="3" headerRowCellStyle="Accent2">
  <autoFilter ref="L1:M12"/>
  <sortState ref="L2:M11">
    <sortCondition ref="L2:L11"/>
  </sortState>
  <tableColumns count="2">
    <tableColumn id="1" name="Code" dataDxfId="2"/>
    <tableColumn id="2" name="Cut_off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Louvre" displayName="Louvre" ref="L1:M12" totalsRowShown="0">
  <autoFilter ref="L1:M12"/>
  <tableColumns count="2">
    <tableColumn id="1" name="Code"/>
    <tableColumn id="2" name="Cut_o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H10" sqref="H10"/>
    </sheetView>
  </sheetViews>
  <sheetFormatPr defaultRowHeight="14.4" x14ac:dyDescent="0.3"/>
  <cols>
    <col min="1" max="1" width="15.21875" customWidth="1"/>
    <col min="2" max="2" width="9.5546875" bestFit="1" customWidth="1"/>
    <col min="3" max="3" width="9.5546875" customWidth="1"/>
    <col min="4" max="4" width="10.77734375" bestFit="1" customWidth="1"/>
    <col min="10" max="10" width="13.6640625" bestFit="1" customWidth="1"/>
    <col min="11" max="11" width="10.33203125" bestFit="1" customWidth="1"/>
  </cols>
  <sheetData>
    <row r="1" spans="1:19" x14ac:dyDescent="0.3">
      <c r="M1" s="7" t="s">
        <v>8</v>
      </c>
      <c r="N1" s="7"/>
      <c r="O1" s="7"/>
      <c r="P1" s="7"/>
      <c r="Q1" s="7"/>
      <c r="R1" s="7"/>
      <c r="S1" s="7"/>
    </row>
    <row r="2" spans="1:19" x14ac:dyDescent="0.3">
      <c r="M2" s="7"/>
      <c r="N2" s="7"/>
      <c r="O2" s="7"/>
      <c r="P2" s="7"/>
      <c r="Q2" s="7"/>
      <c r="R2" s="7"/>
      <c r="S2" s="7"/>
    </row>
    <row r="3" spans="1:19" x14ac:dyDescent="0.3">
      <c r="A3" s="2" t="s">
        <v>7</v>
      </c>
      <c r="B3" s="2" t="s">
        <v>1</v>
      </c>
      <c r="J3" s="6" t="s">
        <v>0</v>
      </c>
      <c r="K3" s="6" t="s">
        <v>1</v>
      </c>
    </row>
    <row r="4" spans="1:19" x14ac:dyDescent="0.3">
      <c r="A4" s="2" t="s">
        <v>0</v>
      </c>
      <c r="B4" s="3">
        <v>46219</v>
      </c>
      <c r="C4" s="3">
        <v>46220</v>
      </c>
      <c r="D4" s="3" t="s">
        <v>6</v>
      </c>
      <c r="J4" s="4" t="s">
        <v>4</v>
      </c>
      <c r="K4" s="3">
        <v>46219</v>
      </c>
      <c r="L4">
        <f>COUNTIFS(MSF[[#All],[Code]],Sheet3!J4,MSF[[#All],[Cut_off]],Sheet3!K4)</f>
        <v>2</v>
      </c>
    </row>
    <row r="5" spans="1:19" x14ac:dyDescent="0.3">
      <c r="A5" t="s">
        <v>4</v>
      </c>
      <c r="B5" s="5">
        <v>2</v>
      </c>
      <c r="C5" s="5">
        <v>1</v>
      </c>
      <c r="D5" s="5">
        <v>3</v>
      </c>
      <c r="J5" s="4" t="s">
        <v>4</v>
      </c>
      <c r="K5" s="3">
        <v>46220</v>
      </c>
      <c r="L5">
        <f>COUNTIFS(MSF[[#All],[Code]],Sheet3!J5,MSF[[#All],[Cut_off]],Sheet3!K5)</f>
        <v>1</v>
      </c>
    </row>
    <row r="6" spans="1:19" x14ac:dyDescent="0.3">
      <c r="A6" t="s">
        <v>5</v>
      </c>
      <c r="B6" s="5">
        <v>2</v>
      </c>
      <c r="C6" s="5"/>
      <c r="D6" s="5">
        <v>2</v>
      </c>
      <c r="J6" s="4" t="s">
        <v>5</v>
      </c>
      <c r="K6" s="3">
        <v>46219</v>
      </c>
      <c r="L6">
        <f>COUNTIFS(MSF[[#All],[Code]],Sheet3!J6,MSF[[#All],[Cut_off]],Sheet3!K6)</f>
        <v>2</v>
      </c>
    </row>
    <row r="7" spans="1:19" x14ac:dyDescent="0.3">
      <c r="A7" t="s">
        <v>2</v>
      </c>
      <c r="B7" s="5">
        <v>3</v>
      </c>
      <c r="C7" s="5"/>
      <c r="D7" s="5">
        <v>3</v>
      </c>
      <c r="J7" s="4" t="s">
        <v>2</v>
      </c>
      <c r="K7" s="3">
        <v>46219</v>
      </c>
      <c r="L7">
        <f>COUNTIFS(MSF[[#All],[Code]],Sheet3!J7,MSF[[#All],[Cut_off]],Sheet3!K7)</f>
        <v>3</v>
      </c>
    </row>
    <row r="8" spans="1:19" x14ac:dyDescent="0.3">
      <c r="A8" t="s">
        <v>3</v>
      </c>
      <c r="B8" s="5">
        <v>3</v>
      </c>
      <c r="C8" s="5"/>
      <c r="D8" s="5">
        <v>3</v>
      </c>
      <c r="J8" s="4" t="s">
        <v>3</v>
      </c>
      <c r="K8" s="3">
        <v>46219</v>
      </c>
      <c r="L8">
        <f>COUNTIFS(MSF[[#All],[Code]],Sheet3!J8,MSF[[#All],[Cut_off]],Sheet3!K8)</f>
        <v>3</v>
      </c>
    </row>
    <row r="9" spans="1:19" x14ac:dyDescent="0.3">
      <c r="A9" t="s">
        <v>6</v>
      </c>
      <c r="B9" s="5">
        <v>10</v>
      </c>
      <c r="C9" s="5">
        <v>1</v>
      </c>
      <c r="D9" s="5">
        <v>11</v>
      </c>
    </row>
    <row r="14" spans="1:19" x14ac:dyDescent="0.3">
      <c r="K14" s="3">
        <v>46219</v>
      </c>
      <c r="L14" s="3">
        <v>46220</v>
      </c>
    </row>
    <row r="15" spans="1:19" x14ac:dyDescent="0.3">
      <c r="J15" s="6" t="s">
        <v>0</v>
      </c>
    </row>
    <row r="16" spans="1:19" x14ac:dyDescent="0.3">
      <c r="J16" s="4" t="s">
        <v>4</v>
      </c>
      <c r="K16" s="13">
        <f>COUNTIFS(MSF[[#All],[Code]],Sheet3!$J16,MSF[[#All],[Cut_off]],Sheet3!$K$14)+
COUNTIFS(Louvre[[#All],[Code]],Sheet3!$J16,Louvre[[#All],[Cut_off]],Sheet3!$K$14)</f>
        <v>4</v>
      </c>
      <c r="L16" s="13">
        <f>COUNTIFS(MSF[[#All],[Code]],Sheet3!$J16,MSF[[#All],[Cut_off]],Sheet3!$L$14)+
COUNTIFS(Louvre[[#All],[Code]],Sheet3!$J16,Louvre[[#All],[Cut_off]],Sheet3!$L$14)</f>
        <v>2</v>
      </c>
    </row>
    <row r="17" spans="10:12" x14ac:dyDescent="0.3">
      <c r="J17" s="4" t="s">
        <v>5</v>
      </c>
      <c r="K17" s="13">
        <f>COUNTIFS(MSF[[#All],[Code]],Sheet3!$J17,MSF[[#All],[Cut_off]],Sheet3!$K$14)+
COUNTIFS(Louvre[[#All],[Code]],Sheet3!$J17,Louvre[[#All],[Cut_off]],Sheet3!$K$14)</f>
        <v>4</v>
      </c>
      <c r="L17" s="13">
        <f>COUNTIFS(MSF[[#All],[Code]],Sheet3!$J17,MSF[[#All],[Cut_off]],Sheet3!$L$14)+
COUNTIFS(Louvre[[#All],[Code]],Sheet3!$J17,Louvre[[#All],[Cut_off]],Sheet3!$L$14)</f>
        <v>0</v>
      </c>
    </row>
    <row r="18" spans="10:12" x14ac:dyDescent="0.3">
      <c r="J18" s="4" t="s">
        <v>2</v>
      </c>
      <c r="K18" s="13">
        <f>COUNTIFS(MSF[[#All],[Code]],Sheet3!$J18,MSF[[#All],[Cut_off]],Sheet3!$K$14)+
COUNTIFS(Louvre[[#All],[Code]],Sheet3!$J18,Louvre[[#All],[Cut_off]],Sheet3!$K$14)</f>
        <v>6</v>
      </c>
      <c r="L18" s="13">
        <f>COUNTIFS(MSF[[#All],[Code]],Sheet3!$J18,MSF[[#All],[Cut_off]],Sheet3!$L$14)+
COUNTIFS(Louvre[[#All],[Code]],Sheet3!$J18,Louvre[[#All],[Cut_off]],Sheet3!$L$14)</f>
        <v>0</v>
      </c>
    </row>
    <row r="19" spans="10:12" x14ac:dyDescent="0.3">
      <c r="J19" s="4" t="s">
        <v>3</v>
      </c>
      <c r="K19" s="13">
        <f>COUNTIFS(MSF[[#All],[Code]],Sheet3!$J19,MSF[[#All],[Cut_off]],Sheet3!$K$14)+
COUNTIFS(Louvre[[#All],[Code]],Sheet3!$J19,Louvre[[#All],[Cut_off]],Sheet3!$K$14)</f>
        <v>6</v>
      </c>
      <c r="L19" s="13">
        <f>COUNTIFS(MSF[[#All],[Code]],Sheet3!$J19,MSF[[#All],[Cut_off]],Sheet3!$L$14)+
COUNTIFS(Louvre[[#All],[Code]],Sheet3!$J19,Louvre[[#All],[Cut_off]],Sheet3!$L$14)</f>
        <v>0</v>
      </c>
    </row>
  </sheetData>
  <mergeCells count="1">
    <mergeCell ref="M1:S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M12"/>
  <sheetViews>
    <sheetView workbookViewId="0">
      <selection activeCell="L1" sqref="L1:M12"/>
    </sheetView>
  </sheetViews>
  <sheetFormatPr defaultRowHeight="14.4" x14ac:dyDescent="0.3"/>
  <cols>
    <col min="12" max="12" width="15.77734375" bestFit="1" customWidth="1"/>
    <col min="13" max="13" width="9.21875" customWidth="1"/>
  </cols>
  <sheetData>
    <row r="1" spans="12:13" x14ac:dyDescent="0.3">
      <c r="L1" s="10" t="s">
        <v>0</v>
      </c>
      <c r="M1" s="10" t="s">
        <v>1</v>
      </c>
    </row>
    <row r="2" spans="12:13" x14ac:dyDescent="0.3">
      <c r="L2" s="8" t="s">
        <v>4</v>
      </c>
      <c r="M2" s="1">
        <v>46219</v>
      </c>
    </row>
    <row r="3" spans="12:13" x14ac:dyDescent="0.3">
      <c r="L3" s="8" t="s">
        <v>4</v>
      </c>
      <c r="M3" s="1">
        <v>46219</v>
      </c>
    </row>
    <row r="4" spans="12:13" x14ac:dyDescent="0.3">
      <c r="L4" s="8" t="s">
        <v>4</v>
      </c>
      <c r="M4" s="1">
        <v>46220</v>
      </c>
    </row>
    <row r="5" spans="12:13" x14ac:dyDescent="0.3">
      <c r="L5" s="9" t="s">
        <v>5</v>
      </c>
      <c r="M5" s="1">
        <v>46219</v>
      </c>
    </row>
    <row r="6" spans="12:13" x14ac:dyDescent="0.3">
      <c r="L6" s="9" t="s">
        <v>5</v>
      </c>
      <c r="M6" s="1">
        <v>46219</v>
      </c>
    </row>
    <row r="7" spans="12:13" x14ac:dyDescent="0.3">
      <c r="L7" s="8" t="s">
        <v>2</v>
      </c>
      <c r="M7" s="1">
        <v>46219</v>
      </c>
    </row>
    <row r="8" spans="12:13" x14ac:dyDescent="0.3">
      <c r="L8" s="8" t="s">
        <v>2</v>
      </c>
      <c r="M8" s="1">
        <v>46219</v>
      </c>
    </row>
    <row r="9" spans="12:13" x14ac:dyDescent="0.3">
      <c r="L9" s="8" t="s">
        <v>2</v>
      </c>
      <c r="M9" s="1">
        <v>46219</v>
      </c>
    </row>
    <row r="10" spans="12:13" x14ac:dyDescent="0.3">
      <c r="L10" s="9" t="s">
        <v>3</v>
      </c>
      <c r="M10" s="1">
        <v>46219</v>
      </c>
    </row>
    <row r="11" spans="12:13" x14ac:dyDescent="0.3">
      <c r="L11" s="9" t="s">
        <v>3</v>
      </c>
      <c r="M11" s="1">
        <v>46219</v>
      </c>
    </row>
    <row r="12" spans="12:13" x14ac:dyDescent="0.3">
      <c r="L12" s="11" t="s">
        <v>3</v>
      </c>
      <c r="M12" s="12">
        <v>46219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M12"/>
  <sheetViews>
    <sheetView workbookViewId="0">
      <selection activeCell="E5" sqref="E5"/>
    </sheetView>
  </sheetViews>
  <sheetFormatPr defaultRowHeight="14.4" x14ac:dyDescent="0.3"/>
  <cols>
    <col min="13" max="13" width="9.21875" customWidth="1"/>
  </cols>
  <sheetData>
    <row r="1" spans="12:13" x14ac:dyDescent="0.3">
      <c r="L1" t="s">
        <v>0</v>
      </c>
      <c r="M1" t="s">
        <v>1</v>
      </c>
    </row>
    <row r="2" spans="12:13" x14ac:dyDescent="0.3">
      <c r="L2" t="s">
        <v>4</v>
      </c>
      <c r="M2">
        <v>46219</v>
      </c>
    </row>
    <row r="3" spans="12:13" x14ac:dyDescent="0.3">
      <c r="L3" t="s">
        <v>4</v>
      </c>
      <c r="M3">
        <v>46219</v>
      </c>
    </row>
    <row r="4" spans="12:13" x14ac:dyDescent="0.3">
      <c r="L4" t="s">
        <v>4</v>
      </c>
      <c r="M4">
        <v>46220</v>
      </c>
    </row>
    <row r="5" spans="12:13" x14ac:dyDescent="0.3">
      <c r="L5" t="s">
        <v>5</v>
      </c>
      <c r="M5">
        <v>46219</v>
      </c>
    </row>
    <row r="6" spans="12:13" x14ac:dyDescent="0.3">
      <c r="L6" t="s">
        <v>5</v>
      </c>
      <c r="M6">
        <v>46219</v>
      </c>
    </row>
    <row r="7" spans="12:13" x14ac:dyDescent="0.3">
      <c r="L7" t="s">
        <v>2</v>
      </c>
      <c r="M7">
        <v>46219</v>
      </c>
    </row>
    <row r="8" spans="12:13" x14ac:dyDescent="0.3">
      <c r="L8" t="s">
        <v>2</v>
      </c>
      <c r="M8">
        <v>46219</v>
      </c>
    </row>
    <row r="9" spans="12:13" x14ac:dyDescent="0.3">
      <c r="L9" t="s">
        <v>2</v>
      </c>
      <c r="M9">
        <v>46219</v>
      </c>
    </row>
    <row r="10" spans="12:13" x14ac:dyDescent="0.3">
      <c r="L10" t="s">
        <v>3</v>
      </c>
      <c r="M10">
        <v>46219</v>
      </c>
    </row>
    <row r="11" spans="12:13" x14ac:dyDescent="0.3">
      <c r="L11" t="s">
        <v>3</v>
      </c>
      <c r="M11">
        <v>46219</v>
      </c>
    </row>
    <row r="12" spans="12:13" x14ac:dyDescent="0.3">
      <c r="L12" t="s">
        <v>3</v>
      </c>
      <c r="M12">
        <v>46219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msf</vt:lpstr>
      <vt:lpstr>Louvre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2026-07-16T05:03:44Z</dcterms:created>
  <dcterms:modified xsi:type="dcterms:W3CDTF">2026-07-16T05:26:48Z</dcterms:modified>
</cp:coreProperties>
</file>