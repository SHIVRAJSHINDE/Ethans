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6.Project\Inventory Managment\Raw Data\"/>
    </mc:Choice>
  </mc:AlternateContent>
  <bookViews>
    <workbookView xWindow="0" yWindow="0" windowWidth="23040" windowHeight="9072"/>
  </bookViews>
  <sheets>
    <sheet name="MS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1" l="1"/>
  <c r="Q13" i="1"/>
  <c r="Q12" i="1"/>
  <c r="Q11" i="1"/>
  <c r="Q10" i="1"/>
  <c r="Q9" i="1"/>
  <c r="Q8" i="1"/>
  <c r="Q7" i="1"/>
  <c r="Q6" i="1"/>
  <c r="Q5" i="1"/>
  <c r="Q4" i="1"/>
  <c r="Q3" i="1"/>
  <c r="E3" i="1"/>
  <c r="A3" i="1" s="1"/>
  <c r="Q2" i="1"/>
  <c r="A2" i="1"/>
  <c r="E4" i="1" l="1"/>
  <c r="A4" i="1" l="1"/>
  <c r="E5" i="1"/>
  <c r="E6" i="1" l="1"/>
  <c r="A5" i="1"/>
  <c r="A6" i="1" l="1"/>
  <c r="E7" i="1"/>
  <c r="E8" i="1" l="1"/>
  <c r="A7" i="1"/>
  <c r="A8" i="1" l="1"/>
  <c r="E9" i="1"/>
  <c r="E10" i="1" l="1"/>
  <c r="A9" i="1"/>
  <c r="E11" i="1" l="1"/>
  <c r="A10" i="1"/>
  <c r="A11" i="1" l="1"/>
  <c r="E12" i="1"/>
  <c r="E13" i="1" l="1"/>
  <c r="A12" i="1"/>
  <c r="E14" i="1" l="1"/>
  <c r="A13" i="1"/>
  <c r="A14" i="1" l="1"/>
</calcChain>
</file>

<file path=xl/sharedStrings.xml><?xml version="1.0" encoding="utf-8"?>
<sst xmlns="http://schemas.openxmlformats.org/spreadsheetml/2006/main" count="69" uniqueCount="35">
  <si>
    <t>Cut_off</t>
  </si>
  <si>
    <t>Sr.No.</t>
  </si>
  <si>
    <t>Region</t>
  </si>
  <si>
    <t>City(Area)</t>
  </si>
  <si>
    <t>Tour Date</t>
  </si>
  <si>
    <t>Tour Name</t>
  </si>
  <si>
    <t>Dept</t>
  </si>
  <si>
    <t>Status-1</t>
  </si>
  <si>
    <t>Supplier</t>
  </si>
  <si>
    <t>Hotel-1</t>
  </si>
  <si>
    <t>Options</t>
  </si>
  <si>
    <t>SGL</t>
  </si>
  <si>
    <t>DBL</t>
  </si>
  <si>
    <t>TPL</t>
  </si>
  <si>
    <t>TOTAL</t>
  </si>
  <si>
    <t>Operating</t>
  </si>
  <si>
    <t>CtOF</t>
  </si>
  <si>
    <t>Gaurav Yatra - Mini Europe - Summer 2019</t>
  </si>
  <si>
    <t>CNFD</t>
  </si>
  <si>
    <t>MSF</t>
  </si>
  <si>
    <t>Ibis Styles Parc des Expositions de Villepinte Hotel</t>
  </si>
  <si>
    <t>Swiss Glory - Summer 2019 - NRI ROW</t>
  </si>
  <si>
    <t>OK</t>
  </si>
  <si>
    <t>European Charm - Summer 2019</t>
  </si>
  <si>
    <t>XXLD</t>
  </si>
  <si>
    <t xml:space="preserve">Ibis Epinay Sur Seine Hotel </t>
  </si>
  <si>
    <t>Gaurav Yatra - Magical Europe - Summer 2019</t>
  </si>
  <si>
    <t>Taste of Europe - Summer 2019</t>
  </si>
  <si>
    <t>Millennium Charles De Gaulle 4*</t>
  </si>
  <si>
    <t>European Whirl - Summer 2019</t>
  </si>
  <si>
    <t>Mercure Le Bourget Hotel 4*</t>
  </si>
  <si>
    <t>French Swiss Medley - Summer 2019</t>
  </si>
  <si>
    <t>Marvels Of Europe - Summer 2019</t>
  </si>
  <si>
    <t>Mercure Val de Fontenay 4*</t>
  </si>
  <si>
    <t>PNDG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</si>
</sst>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#,##0.00\ &quot;€&quot;"/>
  </numFmts>
  <fonts count="9">
    <font>
      <sz val="11"/>
      <color indexed="8"/>
      <name val="Calibri"/>
      <family val="2"/>
      <charset val="134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indexed="8"/>
      <name val="Calibri"/>
      <family val="2"/>
      <charset val="134"/>
    </font>
    <font>
      <b/>
      <sz val="9"/>
      <color indexed="8"/>
      <name val="Candara"/>
      <family val="2"/>
    </font>
    <font>
      <b/>
      <sz val="9"/>
      <color indexed="10"/>
      <name val="Candara"/>
      <family val="2"/>
    </font>
    <font>
      <b/>
      <sz val="9"/>
      <name val="Candara"/>
      <family val="2"/>
    </font>
    <font>
      <sz val="9"/>
      <color indexed="8"/>
      <name val="Candara"/>
      <family val="2"/>
    </font>
    <font>
      <sz val="9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43" fontId="3" fillId="0" borderId="0" applyFont="0" applyFill="0" applyBorder="0" applyAlignment="0" applyProtection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2">
    <xf numFmtId="0" fontId="0" fillId="0" borderId="0" xfId="0">
      <alignment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164" fontId="4" fillId="4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left" vertical="top" wrapText="1"/>
    </xf>
    <xf numFmtId="165" fontId="4" fillId="4" borderId="2" xfId="0" applyNumberFormat="1" applyFont="1" applyFill="1" applyBorder="1" applyAlignment="1">
      <alignment horizontal="left" vertical="center"/>
    </xf>
    <xf numFmtId="0" fontId="7" fillId="0" borderId="0" xfId="0" applyFont="1" applyBorder="1" applyAlignment="1"/>
    <xf numFmtId="15" fontId="8" fillId="0" borderId="3" xfId="3" applyNumberFormat="1" applyFont="1" applyFill="1" applyBorder="1" applyAlignment="1">
      <alignment horizontal="center"/>
    </xf>
    <xf numFmtId="164" fontId="8" fillId="0" borderId="3" xfId="3" applyNumberFormat="1" applyFont="1" applyFill="1" applyBorder="1" applyAlignment="1">
      <alignment horizontal="center"/>
    </xf>
    <xf numFmtId="0" fontId="8" fillId="0" borderId="3" xfId="3" applyFont="1" applyFill="1" applyBorder="1" applyAlignment="1">
      <alignment horizontal="left"/>
    </xf>
    <xf numFmtId="0" fontId="8" fillId="0" borderId="3" xfId="2" applyFont="1" applyFill="1" applyBorder="1" applyAlignment="1">
      <alignment horizontal="center"/>
    </xf>
    <xf numFmtId="0" fontId="8" fillId="0" borderId="3" xfId="3" applyFont="1" applyFill="1" applyBorder="1" applyAlignment="1">
      <alignment horizontal="center"/>
    </xf>
    <xf numFmtId="0" fontId="8" fillId="0" borderId="3" xfId="3" applyFont="1" applyFill="1" applyBorder="1" applyAlignment="1">
      <alignment horizontal="left" vertical="center"/>
    </xf>
    <xf numFmtId="0" fontId="8" fillId="0" borderId="3" xfId="3" applyFont="1" applyFill="1" applyBorder="1" applyAlignment="1"/>
    <xf numFmtId="0" fontId="8" fillId="0" borderId="3" xfId="3" applyFont="1" applyFill="1" applyBorder="1" applyAlignment="1">
      <alignment horizontal="left" wrapText="1"/>
    </xf>
    <xf numFmtId="0" fontId="8" fillId="0" borderId="4" xfId="3" applyNumberFormat="1" applyFont="1" applyFill="1" applyBorder="1" applyAlignment="1">
      <alignment horizontal="right"/>
    </xf>
    <xf numFmtId="15" fontId="8" fillId="0" borderId="3" xfId="2" applyNumberFormat="1" applyFont="1" applyFill="1" applyBorder="1" applyAlignment="1">
      <alignment horizontal="center"/>
    </xf>
    <xf numFmtId="164" fontId="8" fillId="0" borderId="3" xfId="2" applyNumberFormat="1" applyFont="1" applyFill="1" applyBorder="1" applyAlignment="1">
      <alignment horizontal="center"/>
    </xf>
    <xf numFmtId="0" fontId="8" fillId="0" borderId="3" xfId="2" applyFont="1" applyFill="1" applyBorder="1" applyAlignment="1">
      <alignment horizontal="left"/>
    </xf>
    <xf numFmtId="0" fontId="8" fillId="0" borderId="3" xfId="2" applyFont="1" applyFill="1" applyBorder="1" applyAlignment="1">
      <alignment horizontal="left" vertical="center"/>
    </xf>
    <xf numFmtId="0" fontId="8" fillId="0" borderId="3" xfId="2" applyFont="1" applyFill="1" applyBorder="1" applyAlignment="1"/>
    <xf numFmtId="0" fontId="8" fillId="0" borderId="4" xfId="2" applyNumberFormat="1" applyFont="1" applyFill="1" applyBorder="1" applyAlignment="1">
      <alignment horizontal="right"/>
    </xf>
    <xf numFmtId="0" fontId="8" fillId="0" borderId="3" xfId="3" applyNumberFormat="1" applyFont="1" applyFill="1" applyBorder="1" applyAlignment="1">
      <alignment horizontal="left"/>
    </xf>
    <xf numFmtId="0" fontId="8" fillId="0" borderId="3" xfId="3" applyNumberFormat="1" applyFont="1" applyFill="1" applyBorder="1" applyAlignment="1"/>
    <xf numFmtId="164" fontId="7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4" fontId="7" fillId="0" borderId="0" xfId="1" applyNumberFormat="1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5" xfId="0" applyFont="1" applyFill="1" applyBorder="1" applyAlignment="1">
      <alignment horizontal="left"/>
    </xf>
  </cellXfs>
  <cellStyles count="4">
    <cellStyle name="Bad" xfId="3" builtinId="27"/>
    <cellStyle name="Comma" xfId="1" builtinId="3"/>
    <cellStyle name="Good" xfId="2" builtinId="26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relative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ndara"/>
        <scheme val="none"/>
      </font>
      <numFmt numFmtId="20" formatCode="dd/m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ndara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ndara"/>
        <scheme val="none"/>
      </font>
      <fill>
        <patternFill patternType="solid">
          <fgColor indexed="64"/>
          <bgColor indexed="3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arMSF" displayName="ParMSF" ref="A1:Q14" totalsRowShown="0" headerRowDxfId="21" dataDxfId="19" headerRowBorderDxfId="20" tableBorderDxfId="18" totalsRowBorderDxfId="17">
  <autoFilter ref="A1:Q14"/>
  <tableColumns count="17">
    <tableColumn id="2" name="Cut_off" dataDxfId="16">
      <calculatedColumnFormula>ParMSF[[#This Row],[Tour Date]]-30</calculatedColumnFormula>
    </tableColumn>
    <tableColumn id="3" name="Sr.No." dataDxfId="15" dataCellStyle="Comma"/>
    <tableColumn id="4" name="Region" dataDxfId="14"/>
    <tableColumn id="5" name="City(Area)" dataDxfId="13" dataCellStyle="Comma"/>
    <tableColumn id="6" name="Tour Date" dataDxfId="12"/>
    <tableColumn id="7" name="Tour Name" dataDxfId="11"/>
    <tableColumn id="8" name="Dept" dataDxfId="10"/>
    <tableColumn id="20" name="Status-1" dataDxfId="9" dataCellStyle="Good"/>
    <tableColumn id="26" name="Supplier" dataDxfId="8"/>
    <tableColumn id="16" name="Hotel-1" dataDxfId="7"/>
    <tableColumn id="15" name="Options" dataDxfId="6"/>
    <tableColumn id="18" name="SGL" dataDxfId="5"/>
    <tableColumn id="19" name="DBL" dataDxfId="4"/>
    <tableColumn id="22" name="TPL" dataDxfId="3"/>
    <tableColumn id="23" name="TOTAL" dataDxfId="2"/>
    <tableColumn id="25" name="Operating" dataDxfId="1"/>
    <tableColumn id="27" name="CtOF" dataDxfId="0">
      <calculatedColumnFormula>OR(ParMSF[[#This Row],[Status-1]]="XXLD",AND(ParMSF[[#This Row],[Status-1]]="CNFD",ParMSF[[#This Row],[Operating]]="OK"),ParMSF[[#This Row],[Status-1]]="RLSD",ParMSF[[#This Row],[Status-1]]="PNDG",ParMSF[[#This Row],[Status-1]]="")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zoomScale="115" zoomScaleNormal="115" zoomScaleSheetLayoutView="100" workbookViewId="0">
      <selection activeCell="B2" sqref="B2"/>
    </sheetView>
  </sheetViews>
  <sheetFormatPr defaultColWidth="9.109375" defaultRowHeight="12"/>
  <cols>
    <col min="1" max="1" width="7.77734375" style="28" bestFit="1" customWidth="1"/>
    <col min="2" max="2" width="10.33203125" style="29" bestFit="1" customWidth="1"/>
    <col min="3" max="3" width="8" style="9" bestFit="1" customWidth="1"/>
    <col min="4" max="4" width="10.109375" style="27" bestFit="1" customWidth="1"/>
    <col min="5" max="5" width="10" style="9" bestFit="1" customWidth="1"/>
    <col min="6" max="6" width="32.6640625" style="30" bestFit="1" customWidth="1"/>
    <col min="7" max="7" width="6.44140625" style="30" bestFit="1" customWidth="1"/>
    <col min="8" max="8" width="10.5546875" style="9" bestFit="1" customWidth="1"/>
    <col min="9" max="9" width="11.21875" style="9" bestFit="1" customWidth="1"/>
    <col min="10" max="10" width="36.33203125" style="9" bestFit="1" customWidth="1"/>
    <col min="11" max="11" width="8.44140625" style="9" bestFit="1" customWidth="1"/>
    <col min="12" max="12" width="5.6640625" style="9" bestFit="1" customWidth="1"/>
    <col min="13" max="13" width="5.88671875" style="30" bestFit="1" customWidth="1"/>
    <col min="14" max="14" width="5.5546875" style="30" bestFit="1" customWidth="1"/>
    <col min="15" max="15" width="8.33203125" style="9" bestFit="1" customWidth="1"/>
    <col min="16" max="16" width="10.109375" style="9" bestFit="1" customWidth="1"/>
    <col min="17" max="17" width="6.33203125" style="9" bestFit="1" customWidth="1"/>
    <col min="18" max="16384" width="9.109375" style="9"/>
  </cols>
  <sheetData>
    <row r="1" spans="1:17">
      <c r="A1" s="2" t="s">
        <v>0</v>
      </c>
      <c r="B1" s="3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7" t="s">
        <v>15</v>
      </c>
      <c r="Q1" s="8" t="s">
        <v>16</v>
      </c>
    </row>
    <row r="2" spans="1:17">
      <c r="A2" s="10">
        <f>ParMSF[[#This Row],[Tour Date]]-30</f>
        <v>46206</v>
      </c>
      <c r="B2" s="11"/>
      <c r="C2" s="10"/>
      <c r="D2" s="10"/>
      <c r="E2" s="10">
        <v>46236</v>
      </c>
      <c r="F2" s="12" t="s">
        <v>17</v>
      </c>
      <c r="G2" s="12">
        <v>1</v>
      </c>
      <c r="H2" s="31" t="s">
        <v>34</v>
      </c>
      <c r="I2" s="14" t="s">
        <v>19</v>
      </c>
      <c r="J2" s="15" t="s">
        <v>20</v>
      </c>
      <c r="K2" s="12"/>
      <c r="L2" s="12"/>
      <c r="M2" s="16"/>
      <c r="N2" s="16"/>
      <c r="O2" s="16"/>
      <c r="P2" s="17"/>
      <c r="Q2" s="18" t="b">
        <f>OR(ParMSF[[#This Row],[Status-1]]="XXLD",AND(ParMSF[[#This Row],[Status-1]]="CNFD",ParMSF[[#This Row],[Operating]]="OK"),ParMSF[[#This Row],[Status-1]]="RLSD",ParMSF[[#This Row],[Status-1]]="PNDG",ParMSF[[#This Row],[Status-1]]="")</f>
        <v>1</v>
      </c>
    </row>
    <row r="3" spans="1:17">
      <c r="A3" s="19">
        <f>ParMSF[[#This Row],[Tour Date]]-30</f>
        <v>46207</v>
      </c>
      <c r="B3" s="20"/>
      <c r="C3" s="19"/>
      <c r="D3" s="19"/>
      <c r="E3" s="19">
        <f>E2+1</f>
        <v>46237</v>
      </c>
      <c r="F3" s="21" t="s">
        <v>21</v>
      </c>
      <c r="G3" s="21">
        <v>1</v>
      </c>
      <c r="H3" s="31" t="s">
        <v>18</v>
      </c>
      <c r="I3" s="13" t="s">
        <v>19</v>
      </c>
      <c r="J3" s="22" t="s">
        <v>20</v>
      </c>
      <c r="K3" s="21"/>
      <c r="L3" s="21"/>
      <c r="M3" s="23"/>
      <c r="N3" s="23"/>
      <c r="O3" s="23"/>
      <c r="P3" s="23" t="s">
        <v>22</v>
      </c>
      <c r="Q3" s="24" t="b">
        <f>OR(ParMSF[[#This Row],[Status-1]]="XXLD",AND(ParMSF[[#This Row],[Status-1]]="CNFD",ParMSF[[#This Row],[Operating]]="OK"),ParMSF[[#This Row],[Status-1]]="RLSD",ParMSF[[#This Row],[Status-1]]="PNDG",ParMSF[[#This Row],[Status-1]]="")</f>
        <v>1</v>
      </c>
    </row>
    <row r="4" spans="1:17">
      <c r="A4" s="10">
        <f>ParMSF[[#This Row],[Tour Date]]-30</f>
        <v>46208</v>
      </c>
      <c r="B4" s="11"/>
      <c r="C4" s="10"/>
      <c r="D4" s="10"/>
      <c r="E4" s="19">
        <f t="shared" ref="E4:E14" si="0">E3+1</f>
        <v>46238</v>
      </c>
      <c r="F4" s="12" t="s">
        <v>23</v>
      </c>
      <c r="G4" s="12">
        <v>1</v>
      </c>
      <c r="H4" s="31" t="s">
        <v>24</v>
      </c>
      <c r="I4" s="14" t="s">
        <v>19</v>
      </c>
      <c r="J4" s="12"/>
      <c r="K4" s="12"/>
      <c r="L4" s="12"/>
      <c r="M4" s="16"/>
      <c r="N4" s="16"/>
      <c r="O4" s="16"/>
      <c r="P4" s="16"/>
      <c r="Q4" s="18" t="b">
        <f>OR(ParMSF[[#This Row],[Status-1]]="XXLD",AND(ParMSF[[#This Row],[Status-1]]="CNFD",ParMSF[[#This Row],[Operating]]="OK"),ParMSF[[#This Row],[Status-1]]="RLSD",ParMSF[[#This Row],[Status-1]]="PNDG",ParMSF[[#This Row],[Status-1]]="")</f>
        <v>1</v>
      </c>
    </row>
    <row r="5" spans="1:17">
      <c r="A5" s="10">
        <f>ParMSF[[#This Row],[Tour Date]]-30</f>
        <v>46209</v>
      </c>
      <c r="B5" s="11"/>
      <c r="C5" s="10"/>
      <c r="D5" s="10"/>
      <c r="E5" s="19">
        <f t="shared" si="0"/>
        <v>46239</v>
      </c>
      <c r="F5" s="12" t="s">
        <v>17</v>
      </c>
      <c r="G5" s="12">
        <v>1</v>
      </c>
      <c r="H5" s="31" t="s">
        <v>34</v>
      </c>
      <c r="I5" s="14" t="s">
        <v>19</v>
      </c>
      <c r="J5" s="15" t="s">
        <v>25</v>
      </c>
      <c r="K5" s="12"/>
      <c r="L5" s="12"/>
      <c r="M5" s="16"/>
      <c r="N5" s="16"/>
      <c r="O5" s="16"/>
      <c r="P5" s="16"/>
      <c r="Q5" s="18" t="b">
        <f>OR(ParMSF[[#This Row],[Status-1]]="XXLD",AND(ParMSF[[#This Row],[Status-1]]="CNFD",ParMSF[[#This Row],[Operating]]="OK"),ParMSF[[#This Row],[Status-1]]="RLSD",ParMSF[[#This Row],[Status-1]]="PNDG",ParMSF[[#This Row],[Status-1]]="")</f>
        <v>1</v>
      </c>
    </row>
    <row r="6" spans="1:17">
      <c r="A6" s="10">
        <f>ParMSF[[#This Row],[Tour Date]]-30</f>
        <v>46210</v>
      </c>
      <c r="B6" s="11"/>
      <c r="C6" s="10"/>
      <c r="D6" s="10"/>
      <c r="E6" s="19">
        <f t="shared" si="0"/>
        <v>46240</v>
      </c>
      <c r="F6" s="12" t="s">
        <v>23</v>
      </c>
      <c r="G6" s="12">
        <v>1</v>
      </c>
      <c r="H6" s="31" t="s">
        <v>18</v>
      </c>
      <c r="I6" s="14" t="s">
        <v>19</v>
      </c>
      <c r="J6" s="12"/>
      <c r="K6" s="12"/>
      <c r="L6" s="12"/>
      <c r="M6" s="16"/>
      <c r="N6" s="16"/>
      <c r="O6" s="16"/>
      <c r="P6" s="16"/>
      <c r="Q6" s="18" t="b">
        <f>OR(ParMSF[[#This Row],[Status-1]]="XXLD",AND(ParMSF[[#This Row],[Status-1]]="CNFD",ParMSF[[#This Row],[Operating]]="OK"),ParMSF[[#This Row],[Status-1]]="RLSD",ParMSF[[#This Row],[Status-1]]="PNDG",ParMSF[[#This Row],[Status-1]]="")</f>
        <v>0</v>
      </c>
    </row>
    <row r="7" spans="1:17">
      <c r="A7" s="10">
        <f>ParMSF[[#This Row],[Tour Date]]-30</f>
        <v>46211</v>
      </c>
      <c r="B7" s="11"/>
      <c r="C7" s="10"/>
      <c r="D7" s="10"/>
      <c r="E7" s="19">
        <f t="shared" si="0"/>
        <v>46241</v>
      </c>
      <c r="F7" s="12" t="s">
        <v>26</v>
      </c>
      <c r="G7" s="12">
        <v>1</v>
      </c>
      <c r="H7" s="31" t="s">
        <v>34</v>
      </c>
      <c r="I7" s="14" t="s">
        <v>19</v>
      </c>
      <c r="J7" s="15" t="s">
        <v>25</v>
      </c>
      <c r="K7" s="12"/>
      <c r="L7" s="12"/>
      <c r="M7" s="16"/>
      <c r="N7" s="16"/>
      <c r="O7" s="16"/>
      <c r="P7" s="16"/>
      <c r="Q7" s="18" t="b">
        <f>OR(ParMSF[[#This Row],[Status-1]]="XXLD",AND(ParMSF[[#This Row],[Status-1]]="CNFD",ParMSF[[#This Row],[Operating]]="OK"),ParMSF[[#This Row],[Status-1]]="RLSD",ParMSF[[#This Row],[Status-1]]="PNDG",ParMSF[[#This Row],[Status-1]]="")</f>
        <v>1</v>
      </c>
    </row>
    <row r="8" spans="1:17">
      <c r="A8" s="10">
        <f>ParMSF[[#This Row],[Tour Date]]-30</f>
        <v>46212</v>
      </c>
      <c r="B8" s="11"/>
      <c r="C8" s="10"/>
      <c r="D8" s="10"/>
      <c r="E8" s="19">
        <f t="shared" si="0"/>
        <v>46242</v>
      </c>
      <c r="F8" s="12" t="s">
        <v>27</v>
      </c>
      <c r="G8" s="12">
        <v>1</v>
      </c>
      <c r="H8" s="31" t="s">
        <v>18</v>
      </c>
      <c r="I8" s="14" t="s">
        <v>19</v>
      </c>
      <c r="J8" s="12"/>
      <c r="K8" s="12"/>
      <c r="L8" s="12"/>
      <c r="M8" s="16"/>
      <c r="N8" s="16"/>
      <c r="O8" s="16"/>
      <c r="P8" s="16"/>
      <c r="Q8" s="18" t="b">
        <f>OR(ParMSF[[#This Row],[Status-1]]="XXLD",AND(ParMSF[[#This Row],[Status-1]]="CNFD",ParMSF[[#This Row],[Operating]]="OK"),ParMSF[[#This Row],[Status-1]]="RLSD",ParMSF[[#This Row],[Status-1]]="PNDG",ParMSF[[#This Row],[Status-1]]="")</f>
        <v>0</v>
      </c>
    </row>
    <row r="9" spans="1:17">
      <c r="A9" s="10">
        <f>ParMSF[[#This Row],[Tour Date]]-30</f>
        <v>46213</v>
      </c>
      <c r="B9" s="11"/>
      <c r="C9" s="10"/>
      <c r="D9" s="10"/>
      <c r="E9" s="19">
        <f t="shared" si="0"/>
        <v>46243</v>
      </c>
      <c r="F9" s="12" t="s">
        <v>21</v>
      </c>
      <c r="G9" s="12">
        <v>1</v>
      </c>
      <c r="H9" s="31" t="s">
        <v>34</v>
      </c>
      <c r="I9" s="14" t="s">
        <v>19</v>
      </c>
      <c r="J9" s="12" t="s">
        <v>28</v>
      </c>
      <c r="K9" s="12"/>
      <c r="L9" s="12"/>
      <c r="M9" s="16"/>
      <c r="N9" s="16"/>
      <c r="O9" s="16"/>
      <c r="P9" s="16" t="s">
        <v>22</v>
      </c>
      <c r="Q9" s="18" t="b">
        <f>OR(ParMSF[[#This Row],[Status-1]]="XXLD",AND(ParMSF[[#This Row],[Status-1]]="CNFD",ParMSF[[#This Row],[Operating]]="OK"),ParMSF[[#This Row],[Status-1]]="RLSD",ParMSF[[#This Row],[Status-1]]="PNDG",ParMSF[[#This Row],[Status-1]]="")</f>
        <v>1</v>
      </c>
    </row>
    <row r="10" spans="1:17">
      <c r="A10" s="19">
        <f>ParMSF[[#This Row],[Tour Date]]-30</f>
        <v>46214</v>
      </c>
      <c r="B10" s="20"/>
      <c r="C10" s="19"/>
      <c r="D10" s="19"/>
      <c r="E10" s="19">
        <f t="shared" si="0"/>
        <v>46244</v>
      </c>
      <c r="F10" s="21" t="s">
        <v>29</v>
      </c>
      <c r="G10" s="21">
        <v>1</v>
      </c>
      <c r="H10" s="31" t="s">
        <v>18</v>
      </c>
      <c r="I10" s="13" t="s">
        <v>19</v>
      </c>
      <c r="J10" s="21" t="s">
        <v>30</v>
      </c>
      <c r="K10" s="21"/>
      <c r="L10" s="21"/>
      <c r="M10" s="23"/>
      <c r="N10" s="23"/>
      <c r="O10" s="23"/>
      <c r="P10" s="23" t="s">
        <v>22</v>
      </c>
      <c r="Q10" s="24" t="b">
        <f>OR(ParMSF[[#This Row],[Status-1]]="XXLD",AND(ParMSF[[#This Row],[Status-1]]="CNFD",ParMSF[[#This Row],[Operating]]="OK"),ParMSF[[#This Row],[Status-1]]="RLSD",ParMSF[[#This Row],[Status-1]]="PNDG",ParMSF[[#This Row],[Status-1]]="")</f>
        <v>1</v>
      </c>
    </row>
    <row r="11" spans="1:17">
      <c r="A11" s="10">
        <f>ParMSF[[#This Row],[Tour Date]]-30</f>
        <v>46215</v>
      </c>
      <c r="B11" s="11"/>
      <c r="C11" s="10"/>
      <c r="D11" s="10"/>
      <c r="E11" s="19">
        <f t="shared" si="0"/>
        <v>46245</v>
      </c>
      <c r="F11" s="12" t="s">
        <v>17</v>
      </c>
      <c r="G11" s="12">
        <v>1</v>
      </c>
      <c r="H11" s="31" t="s">
        <v>24</v>
      </c>
      <c r="I11" s="14" t="s">
        <v>19</v>
      </c>
      <c r="J11" s="15" t="s">
        <v>20</v>
      </c>
      <c r="K11" s="12"/>
      <c r="L11" s="12"/>
      <c r="M11" s="16"/>
      <c r="N11" s="16"/>
      <c r="O11" s="16"/>
      <c r="P11" s="16"/>
      <c r="Q11" s="18" t="b">
        <f>OR(ParMSF[[#This Row],[Status-1]]="XXLD",AND(ParMSF[[#This Row],[Status-1]]="CNFD",ParMSF[[#This Row],[Operating]]="OK"),ParMSF[[#This Row],[Status-1]]="RLSD",ParMSF[[#This Row],[Status-1]]="PNDG",ParMSF[[#This Row],[Status-1]]="")</f>
        <v>1</v>
      </c>
    </row>
    <row r="12" spans="1:17">
      <c r="A12" s="10">
        <f>ParMSF[[#This Row],[Tour Date]]-30</f>
        <v>46216</v>
      </c>
      <c r="B12" s="11"/>
      <c r="C12" s="10"/>
      <c r="D12" s="10"/>
      <c r="E12" s="19">
        <f t="shared" si="0"/>
        <v>46246</v>
      </c>
      <c r="F12" s="12" t="s">
        <v>23</v>
      </c>
      <c r="G12" s="12">
        <v>1</v>
      </c>
      <c r="H12" s="31" t="s">
        <v>34</v>
      </c>
      <c r="I12" s="14" t="s">
        <v>19</v>
      </c>
      <c r="J12" s="12"/>
      <c r="K12" s="12"/>
      <c r="L12" s="12"/>
      <c r="M12" s="12"/>
      <c r="N12" s="16"/>
      <c r="O12" s="16"/>
      <c r="P12" s="16"/>
      <c r="Q12" s="18" t="b">
        <f>OR(ParMSF[[#This Row],[Status-1]]="XXLD",AND(ParMSF[[#This Row],[Status-1]]="CNFD",ParMSF[[#This Row],[Operating]]="OK"),ParMSF[[#This Row],[Status-1]]="RLSD",ParMSF[[#This Row],[Status-1]]="PNDG",ParMSF[[#This Row],[Status-1]]="")</f>
        <v>1</v>
      </c>
    </row>
    <row r="13" spans="1:17">
      <c r="A13" s="10">
        <f>ParMSF[[#This Row],[Tour Date]]-30</f>
        <v>46217</v>
      </c>
      <c r="B13" s="11"/>
      <c r="C13" s="10"/>
      <c r="D13" s="10"/>
      <c r="E13" s="19">
        <f t="shared" si="0"/>
        <v>46247</v>
      </c>
      <c r="F13" s="12" t="s">
        <v>31</v>
      </c>
      <c r="G13" s="12">
        <v>1</v>
      </c>
      <c r="H13" s="31" t="s">
        <v>18</v>
      </c>
      <c r="I13" s="14" t="s">
        <v>19</v>
      </c>
      <c r="J13" s="12" t="s">
        <v>30</v>
      </c>
      <c r="K13" s="12"/>
      <c r="L13" s="25"/>
      <c r="M13" s="12"/>
      <c r="N13" s="16"/>
      <c r="O13" s="16"/>
      <c r="P13" s="26"/>
      <c r="Q13" s="18" t="b">
        <f>OR(ParMSF[[#This Row],[Status-1]]="XXLD",AND(ParMSF[[#This Row],[Status-1]]="CNFD",ParMSF[[#This Row],[Operating]]="OK"),ParMSF[[#This Row],[Status-1]]="RLSD",ParMSF[[#This Row],[Status-1]]="PNDG",ParMSF[[#This Row],[Status-1]]="")</f>
        <v>0</v>
      </c>
    </row>
    <row r="14" spans="1:17">
      <c r="A14" s="19">
        <f>ParMSF[[#This Row],[Tour Date]]-30</f>
        <v>46218</v>
      </c>
      <c r="B14" s="20"/>
      <c r="C14" s="19"/>
      <c r="D14" s="19"/>
      <c r="E14" s="19">
        <f t="shared" si="0"/>
        <v>46248</v>
      </c>
      <c r="F14" s="21" t="s">
        <v>32</v>
      </c>
      <c r="G14" s="21">
        <v>1</v>
      </c>
      <c r="H14" s="31" t="s">
        <v>24</v>
      </c>
      <c r="I14" s="13" t="s">
        <v>19</v>
      </c>
      <c r="J14" s="21" t="s">
        <v>33</v>
      </c>
      <c r="K14" s="21"/>
      <c r="L14" s="21"/>
      <c r="M14" s="21"/>
      <c r="N14" s="23"/>
      <c r="O14" s="23"/>
      <c r="P14" s="23" t="s">
        <v>22</v>
      </c>
      <c r="Q14" s="24" t="b">
        <f>OR(ParMSF[[#This Row],[Status-1]]="XXLD",AND(ParMSF[[#This Row],[Status-1]]="CNFD",ParMSF[[#This Row],[Operating]]="OK"),ParMSF[[#This Row],[Status-1]]="RLSD",ParMSF[[#This Row],[Status-1]]="PNDG",ParMSF[[#This Row],[Status-1]]="")</f>
        <v>1</v>
      </c>
    </row>
  </sheetData>
  <pageMargins left="0.69930555555555596" right="0.69930555555555596" top="0.75" bottom="0.75" header="0.3" footer="0.3"/>
  <pageSetup paperSize="9" scale="13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2026-07-08T10:22:57Z</dcterms:created>
  <dcterms:modified xsi:type="dcterms:W3CDTF">2026-07-15T07:16:47Z</dcterms:modified>
</cp:coreProperties>
</file>