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Project\Raw Data\"/>
    </mc:Choice>
  </mc:AlternateContent>
  <bookViews>
    <workbookView xWindow="0" yWindow="0" windowWidth="23040" windowHeight="9072"/>
  </bookViews>
  <sheets>
    <sheet name="Acc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" i="1" l="1"/>
  <c r="S13" i="1"/>
  <c r="S12" i="1"/>
  <c r="S11" i="1"/>
  <c r="S10" i="1"/>
  <c r="S9" i="1"/>
  <c r="S8" i="1"/>
  <c r="S7" i="1"/>
  <c r="S6" i="1"/>
  <c r="S5" i="1"/>
  <c r="S4" i="1"/>
  <c r="S3" i="1"/>
  <c r="E3" i="1"/>
  <c r="E4" i="1" s="1"/>
  <c r="S2" i="1"/>
  <c r="A2" i="1"/>
  <c r="A3" i="1" l="1"/>
  <c r="E5" i="1"/>
  <c r="A4" i="1"/>
  <c r="E6" i="1" l="1"/>
  <c r="A5" i="1"/>
  <c r="A6" i="1" l="1"/>
  <c r="E7" i="1"/>
  <c r="A7" i="1" l="1"/>
  <c r="E8" i="1"/>
  <c r="A8" i="1" l="1"/>
  <c r="E9" i="1"/>
  <c r="A9" i="1" l="1"/>
  <c r="E10" i="1"/>
  <c r="A10" i="1" l="1"/>
  <c r="E11" i="1"/>
  <c r="E12" i="1" l="1"/>
  <c r="A11" i="1"/>
  <c r="A12" i="1" l="1"/>
  <c r="E13" i="1"/>
  <c r="E14" i="1" l="1"/>
  <c r="A13" i="1"/>
  <c r="A14" i="1" l="1"/>
</calcChain>
</file>

<file path=xl/sharedStrings.xml><?xml version="1.0" encoding="utf-8"?>
<sst xmlns="http://schemas.openxmlformats.org/spreadsheetml/2006/main" count="77" uniqueCount="36">
  <si>
    <t>Cut_off</t>
  </si>
  <si>
    <t>Sr.No.</t>
  </si>
  <si>
    <t>Region</t>
  </si>
  <si>
    <t>City(Area)</t>
  </si>
  <si>
    <t>Tour Date</t>
  </si>
  <si>
    <t>Tour Name</t>
  </si>
  <si>
    <t>Dept</t>
  </si>
  <si>
    <t>Status-1</t>
  </si>
  <si>
    <t>Supplier</t>
  </si>
  <si>
    <t>Hotel-1</t>
  </si>
  <si>
    <t>Options</t>
  </si>
  <si>
    <t>SGL</t>
  </si>
  <si>
    <t>DBL</t>
  </si>
  <si>
    <t>TPL</t>
  </si>
  <si>
    <t>TOTAL</t>
  </si>
  <si>
    <t>Operating</t>
  </si>
  <si>
    <t>CtOF</t>
  </si>
  <si>
    <t>Operating2</t>
  </si>
  <si>
    <t>CtOF3</t>
  </si>
  <si>
    <t>Gaurav Yatra - Mini Europe - Summer 2019</t>
  </si>
  <si>
    <t>XXLD</t>
  </si>
  <si>
    <t>Accor</t>
  </si>
  <si>
    <t xml:space="preserve">Novotel Paris Est </t>
  </si>
  <si>
    <t>45 € 1/2 twin BB, Suppl single  = ½ twin – 2 €, Sup triple =  ½ twin – 5 €, 1.80€ pp extra for city tax</t>
  </si>
  <si>
    <t>Swiss Glory - Summer 2019 - NRI ROW</t>
  </si>
  <si>
    <t>European Charm - Summer 2019</t>
  </si>
  <si>
    <t>42 € 1/2 twin BB, Suppl single  = ½ twin – 2 €, Sup triple =  ½ twin – 5 €, 1.80€ pp extra for city tax</t>
  </si>
  <si>
    <t>Gaurav Yatra - Magical Europe - Summer 2019</t>
  </si>
  <si>
    <t>Taste of Europe - Summer 2019</t>
  </si>
  <si>
    <t>European Whirl - Summer 2019</t>
  </si>
  <si>
    <t>47 € 1/2 twin BB, Suppl single  = ½ twin – 2 €, Sup triple =  ½ twin – 5 €, 1.80€ pp extra for city tax</t>
  </si>
  <si>
    <t>French Swiss Medley - Summer 2019</t>
  </si>
  <si>
    <t>Marvels Of Europe - Summer 2019</t>
  </si>
  <si>
    <t>PNDG</t>
  </si>
  <si>
    <t>CNFD</t>
  </si>
  <si>
    <t>ABC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</si>
</sst>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#,##0.00\ &quot;€&quot;"/>
  </numFmts>
  <fonts count="11"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8"/>
      <name val="Calibri"/>
      <family val="2"/>
      <charset val="134"/>
    </font>
    <font>
      <b/>
      <sz val="9"/>
      <color indexed="8"/>
      <name val="Candara"/>
      <family val="2"/>
    </font>
    <font>
      <b/>
      <sz val="9"/>
      <color indexed="10"/>
      <name val="Candara"/>
      <family val="2"/>
    </font>
    <font>
      <b/>
      <sz val="9"/>
      <name val="Candara"/>
      <family val="2"/>
    </font>
    <font>
      <sz val="9"/>
      <color indexed="8"/>
      <name val="Candara"/>
      <family val="2"/>
    </font>
    <font>
      <sz val="9"/>
      <name val="Candara"/>
      <family val="2"/>
    </font>
    <font>
      <sz val="9"/>
      <color theme="1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43" fontId="4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0" borderId="0"/>
  </cellStyleXfs>
  <cellXfs count="23">
    <xf numFmtId="0" fontId="0" fillId="0" borderId="0" xfId="0">
      <alignment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164" fontId="5" fillId="4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left" vertical="center"/>
    </xf>
    <xf numFmtId="165" fontId="7" fillId="4" borderId="1" xfId="0" applyNumberFormat="1" applyFont="1" applyFill="1" applyBorder="1" applyAlignment="1">
      <alignment horizontal="left" vertical="top" wrapText="1"/>
    </xf>
    <xf numFmtId="165" fontId="5" fillId="4" borderId="2" xfId="0" applyNumberFormat="1" applyFont="1" applyFill="1" applyBorder="1" applyAlignment="1">
      <alignment horizontal="left" vertical="center"/>
    </xf>
    <xf numFmtId="165" fontId="7" fillId="4" borderId="3" xfId="0" applyNumberFormat="1" applyFont="1" applyFill="1" applyBorder="1" applyAlignment="1">
      <alignment horizontal="left" vertical="top" wrapText="1"/>
    </xf>
    <xf numFmtId="165" fontId="5" fillId="4" borderId="3" xfId="0" applyNumberFormat="1" applyFont="1" applyFill="1" applyBorder="1" applyAlignment="1">
      <alignment horizontal="left" vertical="center"/>
    </xf>
    <xf numFmtId="0" fontId="0" fillId="0" borderId="0" xfId="0" applyAlignment="1"/>
    <xf numFmtId="0" fontId="8" fillId="0" borderId="4" xfId="0" applyFont="1" applyFill="1" applyBorder="1" applyAlignment="1">
      <alignment horizontal="left"/>
    </xf>
    <xf numFmtId="15" fontId="8" fillId="0" borderId="4" xfId="0" applyNumberFormat="1" applyFont="1" applyFill="1" applyBorder="1" applyAlignment="1">
      <alignment horizontal="left"/>
    </xf>
    <xf numFmtId="15" fontId="9" fillId="0" borderId="5" xfId="3" applyNumberFormat="1" applyFont="1" applyFill="1" applyBorder="1" applyAlignment="1">
      <alignment horizontal="center"/>
    </xf>
    <xf numFmtId="0" fontId="9" fillId="0" borderId="5" xfId="3" applyFont="1" applyFill="1" applyBorder="1" applyAlignment="1">
      <alignment horizontal="left"/>
    </xf>
    <xf numFmtId="0" fontId="10" fillId="0" borderId="4" xfId="0" applyFont="1" applyFill="1" applyBorder="1" applyAlignment="1">
      <alignment horizontal="left"/>
    </xf>
    <xf numFmtId="15" fontId="8" fillId="0" borderId="6" xfId="0" applyNumberFormat="1" applyFont="1" applyFill="1" applyBorder="1" applyAlignment="1">
      <alignment horizontal="left"/>
    </xf>
    <xf numFmtId="15" fontId="8" fillId="0" borderId="3" xfId="0" applyNumberFormat="1" applyFont="1" applyFill="1" applyBorder="1" applyAlignment="1">
      <alignment horizontal="left"/>
    </xf>
    <xf numFmtId="15" fontId="9" fillId="0" borderId="5" xfId="2" applyNumberFormat="1" applyFont="1" applyFill="1" applyBorder="1" applyAlignment="1">
      <alignment horizontal="center"/>
    </xf>
    <xf numFmtId="0" fontId="9" fillId="0" borderId="5" xfId="2" applyFont="1" applyFill="1" applyBorder="1" applyAlignment="1">
      <alignment horizontal="left"/>
    </xf>
    <xf numFmtId="43" fontId="8" fillId="0" borderId="4" xfId="1" applyFont="1" applyFill="1" applyBorder="1" applyAlignment="1">
      <alignment horizontal="left"/>
    </xf>
    <xf numFmtId="15" fontId="10" fillId="0" borderId="4" xfId="4" applyNumberFormat="1" applyFont="1" applyFill="1" applyBorder="1" applyAlignment="1">
      <alignment horizontal="left"/>
    </xf>
  </cellXfs>
  <cellStyles count="5">
    <cellStyle name="Bad" xfId="3" builtinId="27"/>
    <cellStyle name="Comma" xfId="1" builtinId="3"/>
    <cellStyle name="Good" xfId="2" builtinId="26"/>
    <cellStyle name="Normal" xfId="0" builtinId="0"/>
    <cellStyle name="Normal 3" xfId="4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relative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relative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scheme val="none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ndara"/>
        <scheme val="none"/>
      </font>
      <fill>
        <patternFill patternType="none">
          <fgColor indexed="64"/>
          <bgColor auto="1"/>
        </patternFill>
      </fill>
    </dxf>
    <dxf>
      <border>
        <bottom style="hair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arAccor" displayName="ParAccor" ref="A1:S14" totalsRowShown="0" dataDxfId="21" headerRowBorderDxfId="22" tableBorderDxfId="20" totalsRowBorderDxfId="19">
  <autoFilter ref="A1:S14"/>
  <tableColumns count="19">
    <tableColumn id="2" name="Cut_off" dataDxfId="18">
      <calculatedColumnFormula>ParAccor[[#This Row],[Tour Date]]-30</calculatedColumnFormula>
    </tableColumn>
    <tableColumn id="3" name="Sr.No." dataDxfId="17"/>
    <tableColumn id="4" name="Region" dataDxfId="16"/>
    <tableColumn id="5" name="City(Area)" dataDxfId="15"/>
    <tableColumn id="6" name="Tour Date" dataDxfId="14" dataCellStyle="Good"/>
    <tableColumn id="7" name="Tour Name" dataDxfId="13" dataCellStyle="Good"/>
    <tableColumn id="8" name="Dept" dataDxfId="12" dataCellStyle="Comma"/>
    <tableColumn id="15" name="Status-1" dataDxfId="11"/>
    <tableColumn id="26" name="Supplier" dataDxfId="10"/>
    <tableColumn id="16" name="Hotel-1" dataDxfId="9"/>
    <tableColumn id="17" name="Options" dataDxfId="8"/>
    <tableColumn id="18" name="SGL" dataDxfId="7"/>
    <tableColumn id="19" name="DBL" dataDxfId="6"/>
    <tableColumn id="20" name="TPL" dataDxfId="5"/>
    <tableColumn id="21" name="TOTAL" dataDxfId="4"/>
    <tableColumn id="22" name="Operating" dataDxfId="3"/>
    <tableColumn id="23" name="CtOF" dataDxfId="2"/>
    <tableColumn id="24" name="Operating2" dataDxfId="1"/>
    <tableColumn id="27" name="CtOF3" dataDxfId="0">
      <calculatedColumnFormula>OR(ParAccor[[#This Row],[Status-1]]="XXLD",AND(ParAccor[[#This Row],[Status-1]]="CNFD",ParAccor[[#This Row],[Operating2]]="OK"),ParAccor[[#This Row],[Status-1]]="RLSD",ParAccor[[#This Row],[Status-1]]="PNDG",ParAccor[[#This Row],[Status-1]]="")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workbookViewId="0">
      <selection activeCell="A4" sqref="A4"/>
    </sheetView>
  </sheetViews>
  <sheetFormatPr defaultRowHeight="14.4"/>
  <cols>
    <col min="1" max="1" width="18.33203125" style="11" bestFit="1" customWidth="1"/>
    <col min="2" max="2" width="8" style="11" bestFit="1" customWidth="1"/>
    <col min="3" max="3" width="8.5546875" style="11" bestFit="1" customWidth="1"/>
    <col min="4" max="4" width="11.109375" style="11" bestFit="1" customWidth="1"/>
    <col min="5" max="5" width="9.5546875" style="11" bestFit="1" customWidth="1"/>
    <col min="6" max="6" width="42.5546875" style="11" bestFit="1" customWidth="1"/>
    <col min="7" max="9" width="8.88671875" style="11"/>
    <col min="10" max="10" width="14.88671875" style="11" bestFit="1" customWidth="1"/>
    <col min="11" max="11" width="8.88671875" style="11"/>
    <col min="12" max="12" width="80" style="11" bestFit="1" customWidth="1"/>
    <col min="13" max="16384" width="8.88671875" style="11"/>
  </cols>
  <sheetData>
    <row r="1" spans="1:19">
      <c r="A1" s="2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10" t="s">
        <v>18</v>
      </c>
    </row>
    <row r="2" spans="1:19">
      <c r="A2" s="13">
        <f>ParAccor[[#This Row],[Tour Date]]-30</f>
        <v>46206</v>
      </c>
      <c r="B2" s="12"/>
      <c r="C2" s="13"/>
      <c r="D2" s="13"/>
      <c r="E2" s="14">
        <v>46236</v>
      </c>
      <c r="F2" s="15" t="s">
        <v>19</v>
      </c>
      <c r="G2" s="16">
        <v>1</v>
      </c>
      <c r="H2" s="12" t="s">
        <v>33</v>
      </c>
      <c r="I2" s="12" t="s">
        <v>21</v>
      </c>
      <c r="J2" s="12" t="s">
        <v>22</v>
      </c>
      <c r="K2" s="12"/>
      <c r="L2" s="12" t="s">
        <v>23</v>
      </c>
      <c r="M2" s="12"/>
      <c r="N2" s="13"/>
      <c r="O2" s="13"/>
      <c r="P2" s="13"/>
      <c r="Q2" s="13"/>
      <c r="R2" s="17"/>
      <c r="S2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1</v>
      </c>
    </row>
    <row r="3" spans="1:19">
      <c r="A3" s="13">
        <f>ParAccor[[#This Row],[Tour Date]]-30</f>
        <v>46207</v>
      </c>
      <c r="B3" s="12"/>
      <c r="C3" s="13"/>
      <c r="D3" s="13"/>
      <c r="E3" s="19">
        <f>E2+1</f>
        <v>46237</v>
      </c>
      <c r="F3" s="20" t="s">
        <v>24</v>
      </c>
      <c r="G3" s="16">
        <v>1</v>
      </c>
      <c r="H3" s="12" t="s">
        <v>34</v>
      </c>
      <c r="I3" s="12" t="s">
        <v>21</v>
      </c>
      <c r="J3" s="12" t="s">
        <v>35</v>
      </c>
      <c r="K3" s="12"/>
      <c r="L3" s="12"/>
      <c r="M3" s="12"/>
      <c r="N3" s="13"/>
      <c r="O3" s="13"/>
      <c r="P3" s="13"/>
      <c r="Q3" s="13"/>
      <c r="R3" s="17"/>
      <c r="S3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0</v>
      </c>
    </row>
    <row r="4" spans="1:19">
      <c r="A4" s="13">
        <f>ParAccor[[#This Row],[Tour Date]]-30</f>
        <v>46208</v>
      </c>
      <c r="B4" s="12"/>
      <c r="C4" s="13"/>
      <c r="D4" s="13"/>
      <c r="E4" s="19">
        <f t="shared" ref="E4:E14" si="0">E3+1</f>
        <v>46238</v>
      </c>
      <c r="F4" s="15" t="s">
        <v>25</v>
      </c>
      <c r="G4" s="16">
        <v>1</v>
      </c>
      <c r="H4" s="12" t="s">
        <v>20</v>
      </c>
      <c r="I4" s="12" t="s">
        <v>21</v>
      </c>
      <c r="J4" s="12" t="s">
        <v>22</v>
      </c>
      <c r="K4" s="12"/>
      <c r="L4" s="12" t="s">
        <v>23</v>
      </c>
      <c r="M4" s="12"/>
      <c r="N4" s="13"/>
      <c r="O4" s="13"/>
      <c r="P4" s="13"/>
      <c r="Q4" s="13"/>
      <c r="R4" s="17"/>
      <c r="S4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1</v>
      </c>
    </row>
    <row r="5" spans="1:19">
      <c r="A5" s="13">
        <f>ParAccor[[#This Row],[Tour Date]]-30</f>
        <v>46209</v>
      </c>
      <c r="B5" s="12"/>
      <c r="C5" s="13"/>
      <c r="D5" s="13"/>
      <c r="E5" s="19">
        <f t="shared" si="0"/>
        <v>46239</v>
      </c>
      <c r="F5" s="15" t="s">
        <v>19</v>
      </c>
      <c r="G5" s="16">
        <v>1</v>
      </c>
      <c r="H5" s="12" t="s">
        <v>33</v>
      </c>
      <c r="I5" s="12" t="s">
        <v>21</v>
      </c>
      <c r="J5" s="12" t="s">
        <v>35</v>
      </c>
      <c r="K5" s="12"/>
      <c r="L5" s="12"/>
      <c r="M5" s="12"/>
      <c r="N5" s="13"/>
      <c r="O5" s="13"/>
      <c r="P5" s="13"/>
      <c r="Q5" s="13"/>
      <c r="R5" s="17"/>
      <c r="S5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1</v>
      </c>
    </row>
    <row r="6" spans="1:19">
      <c r="A6" s="13">
        <f>ParAccor[[#This Row],[Tour Date]]-30</f>
        <v>46210</v>
      </c>
      <c r="B6" s="21"/>
      <c r="C6" s="22"/>
      <c r="D6" s="22"/>
      <c r="E6" s="19">
        <f t="shared" si="0"/>
        <v>46240</v>
      </c>
      <c r="F6" s="15" t="s">
        <v>25</v>
      </c>
      <c r="G6" s="16">
        <v>1</v>
      </c>
      <c r="H6" s="12" t="s">
        <v>34</v>
      </c>
      <c r="I6" s="12" t="s">
        <v>21</v>
      </c>
      <c r="J6" s="12" t="s">
        <v>22</v>
      </c>
      <c r="K6" s="12"/>
      <c r="L6" s="12" t="s">
        <v>26</v>
      </c>
      <c r="M6" s="12"/>
      <c r="N6" s="13"/>
      <c r="O6" s="13"/>
      <c r="P6" s="13"/>
      <c r="Q6" s="13"/>
      <c r="R6" s="17"/>
      <c r="S6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0</v>
      </c>
    </row>
    <row r="7" spans="1:19">
      <c r="A7" s="13">
        <f>ParAccor[[#This Row],[Tour Date]]-30</f>
        <v>46211</v>
      </c>
      <c r="B7" s="12"/>
      <c r="C7" s="13"/>
      <c r="D7" s="13"/>
      <c r="E7" s="19">
        <f t="shared" si="0"/>
        <v>46241</v>
      </c>
      <c r="F7" s="15" t="s">
        <v>27</v>
      </c>
      <c r="G7" s="16">
        <v>1</v>
      </c>
      <c r="H7" s="12" t="s">
        <v>33</v>
      </c>
      <c r="I7" s="12" t="s">
        <v>21</v>
      </c>
      <c r="J7" s="12" t="s">
        <v>35</v>
      </c>
      <c r="K7" s="12"/>
      <c r="L7" s="12"/>
      <c r="M7" s="12"/>
      <c r="N7" s="13"/>
      <c r="O7" s="13"/>
      <c r="P7" s="13"/>
      <c r="Q7" s="13"/>
      <c r="R7" s="17"/>
      <c r="S7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1</v>
      </c>
    </row>
    <row r="8" spans="1:19">
      <c r="A8" s="13">
        <f>ParAccor[[#This Row],[Tour Date]]-30</f>
        <v>46212</v>
      </c>
      <c r="B8" s="21"/>
      <c r="C8" s="13"/>
      <c r="D8" s="13"/>
      <c r="E8" s="19">
        <f t="shared" si="0"/>
        <v>46242</v>
      </c>
      <c r="F8" s="15" t="s">
        <v>28</v>
      </c>
      <c r="G8" s="16">
        <v>1</v>
      </c>
      <c r="H8" s="12" t="s">
        <v>34</v>
      </c>
      <c r="I8" s="12" t="s">
        <v>21</v>
      </c>
      <c r="J8" s="12" t="s">
        <v>22</v>
      </c>
      <c r="K8" s="12"/>
      <c r="L8" s="12" t="s">
        <v>26</v>
      </c>
      <c r="M8" s="12"/>
      <c r="N8" s="13"/>
      <c r="O8" s="13"/>
      <c r="P8" s="13"/>
      <c r="Q8" s="13"/>
      <c r="R8" s="17"/>
      <c r="S8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0</v>
      </c>
    </row>
    <row r="9" spans="1:19">
      <c r="A9" s="13">
        <f>ParAccor[[#This Row],[Tour Date]]-30</f>
        <v>46213</v>
      </c>
      <c r="B9" s="12"/>
      <c r="C9" s="13"/>
      <c r="D9" s="13"/>
      <c r="E9" s="19">
        <f t="shared" si="0"/>
        <v>46243</v>
      </c>
      <c r="F9" s="15" t="s">
        <v>24</v>
      </c>
      <c r="G9" s="16">
        <v>1</v>
      </c>
      <c r="H9" s="12" t="s">
        <v>33</v>
      </c>
      <c r="I9" s="12" t="s">
        <v>21</v>
      </c>
      <c r="J9" s="12" t="s">
        <v>35</v>
      </c>
      <c r="K9" s="12"/>
      <c r="L9" s="12"/>
      <c r="M9" s="12"/>
      <c r="N9" s="13"/>
      <c r="O9" s="13"/>
      <c r="P9" s="13"/>
      <c r="Q9" s="13"/>
      <c r="R9" s="17"/>
      <c r="S9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1</v>
      </c>
    </row>
    <row r="10" spans="1:19">
      <c r="A10" s="13">
        <f>ParAccor[[#This Row],[Tour Date]]-30</f>
        <v>46214</v>
      </c>
      <c r="B10" s="12"/>
      <c r="C10" s="13"/>
      <c r="D10" s="13"/>
      <c r="E10" s="19">
        <f t="shared" si="0"/>
        <v>46244</v>
      </c>
      <c r="F10" s="20" t="s">
        <v>29</v>
      </c>
      <c r="G10" s="16">
        <v>1</v>
      </c>
      <c r="H10" s="12" t="s">
        <v>34</v>
      </c>
      <c r="I10" s="12" t="s">
        <v>21</v>
      </c>
      <c r="J10" s="12" t="s">
        <v>22</v>
      </c>
      <c r="K10" s="12"/>
      <c r="L10" s="12" t="s">
        <v>23</v>
      </c>
      <c r="M10" s="12"/>
      <c r="N10" s="13"/>
      <c r="O10" s="13"/>
      <c r="P10" s="13"/>
      <c r="Q10" s="13"/>
      <c r="R10" s="17"/>
      <c r="S10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0</v>
      </c>
    </row>
    <row r="11" spans="1:19">
      <c r="A11" s="13">
        <f>ParAccor[[#This Row],[Tour Date]]-30</f>
        <v>46215</v>
      </c>
      <c r="B11" s="12"/>
      <c r="C11" s="13"/>
      <c r="D11" s="13"/>
      <c r="E11" s="19">
        <f t="shared" si="0"/>
        <v>46245</v>
      </c>
      <c r="F11" s="15" t="s">
        <v>19</v>
      </c>
      <c r="G11" s="16">
        <v>1</v>
      </c>
      <c r="H11" s="12" t="s">
        <v>20</v>
      </c>
      <c r="I11" s="12" t="s">
        <v>21</v>
      </c>
      <c r="J11" s="12" t="s">
        <v>22</v>
      </c>
      <c r="K11" s="12"/>
      <c r="L11" s="12" t="s">
        <v>30</v>
      </c>
      <c r="M11" s="12"/>
      <c r="N11" s="13"/>
      <c r="O11" s="13"/>
      <c r="P11" s="13"/>
      <c r="Q11" s="13"/>
      <c r="R11" s="17"/>
      <c r="S11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1</v>
      </c>
    </row>
    <row r="12" spans="1:19">
      <c r="A12" s="13">
        <f>ParAccor[[#This Row],[Tour Date]]-30</f>
        <v>46216</v>
      </c>
      <c r="B12" s="12"/>
      <c r="C12" s="13"/>
      <c r="D12" s="13"/>
      <c r="E12" s="19">
        <f t="shared" si="0"/>
        <v>46246</v>
      </c>
      <c r="F12" s="15" t="s">
        <v>25</v>
      </c>
      <c r="G12" s="16">
        <v>1</v>
      </c>
      <c r="H12" s="12" t="s">
        <v>33</v>
      </c>
      <c r="I12" s="12" t="s">
        <v>21</v>
      </c>
      <c r="J12" s="12" t="s">
        <v>22</v>
      </c>
      <c r="K12" s="13"/>
      <c r="L12" s="13"/>
      <c r="M12" s="13"/>
      <c r="N12" s="13"/>
      <c r="O12" s="13"/>
      <c r="P12" s="13"/>
      <c r="Q12" s="13"/>
      <c r="R12" s="17"/>
      <c r="S12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1</v>
      </c>
    </row>
    <row r="13" spans="1:19">
      <c r="A13" s="13">
        <f>ParAccor[[#This Row],[Tour Date]]-30</f>
        <v>46217</v>
      </c>
      <c r="B13" s="12"/>
      <c r="C13" s="13"/>
      <c r="D13" s="13"/>
      <c r="E13" s="19">
        <f t="shared" si="0"/>
        <v>46247</v>
      </c>
      <c r="F13" s="15" t="s">
        <v>31</v>
      </c>
      <c r="G13" s="16">
        <v>1</v>
      </c>
      <c r="H13" s="12" t="s">
        <v>34</v>
      </c>
      <c r="I13" s="12" t="s">
        <v>21</v>
      </c>
      <c r="J13" s="12" t="s">
        <v>22</v>
      </c>
      <c r="K13" s="13"/>
      <c r="L13" s="13"/>
      <c r="M13" s="13"/>
      <c r="N13" s="13"/>
      <c r="O13" s="13"/>
      <c r="P13" s="13"/>
      <c r="Q13" s="13"/>
      <c r="R13" s="17"/>
      <c r="S13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0</v>
      </c>
    </row>
    <row r="14" spans="1:19">
      <c r="A14" s="13">
        <f>ParAccor[[#This Row],[Tour Date]]-30</f>
        <v>46218</v>
      </c>
      <c r="B14" s="12"/>
      <c r="C14" s="13"/>
      <c r="D14" s="13"/>
      <c r="E14" s="19">
        <f t="shared" si="0"/>
        <v>46248</v>
      </c>
      <c r="F14" s="20" t="s">
        <v>32</v>
      </c>
      <c r="G14" s="16">
        <v>1</v>
      </c>
      <c r="H14" s="12" t="s">
        <v>20</v>
      </c>
      <c r="I14" s="12" t="s">
        <v>21</v>
      </c>
      <c r="J14" s="12" t="s">
        <v>22</v>
      </c>
      <c r="K14" s="13"/>
      <c r="L14" s="13"/>
      <c r="M14" s="13"/>
      <c r="N14" s="13"/>
      <c r="O14" s="13"/>
      <c r="P14" s="13"/>
      <c r="Q14" s="13"/>
      <c r="R14" s="17"/>
      <c r="S14" s="18" t="b">
        <f>OR(ParAccor[[#This Row],[Status-1]]="XXLD",AND(ParAccor[[#This Row],[Status-1]]="CNFD",ParAccor[[#This Row],[Operating2]]="OK"),ParAccor[[#This Row],[Status-1]]="RLSD",ParAccor[[#This Row],[Status-1]]="PNDG",ParAccor[[#This Row],[Status-1]]="")</f>
        <v>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2026-07-08T10:24:10Z</dcterms:created>
  <dcterms:modified xsi:type="dcterms:W3CDTF">2026-07-08T10:29:12Z</dcterms:modified>
</cp:coreProperties>
</file>