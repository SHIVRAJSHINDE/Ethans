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1 Excel\Advance Formulas and Functions\"/>
    </mc:Choice>
  </mc:AlternateContent>
  <bookViews>
    <workbookView xWindow="0" yWindow="0" windowWidth="23040" windowHeight="9072" activeTab="2"/>
  </bookViews>
  <sheets>
    <sheet name="Vloo" sheetId="14" r:id="rId1"/>
    <sheet name="hloo" sheetId="18" r:id="rId2"/>
    <sheet name="StringFunction" sheetId="16" r:id="rId3"/>
    <sheet name="Data-01" sheetId="13" r:id="rId4"/>
    <sheet name="Sheet2" sheetId="20" r:id="rId5"/>
    <sheet name="Sheet1" sheetId="17" r:id="rId6"/>
    <sheet name="SumIF_n_CountIf" sheetId="15" r:id="rId7"/>
    <sheet name="ConditionalFunctions" sheetId="19" r:id="rId8"/>
  </sheets>
  <externalReferences>
    <externalReference r:id="rId9"/>
  </externalReferences>
  <definedNames>
    <definedName name="_xlnm._FilterDatabase" localSheetId="6" hidden="1">SumIF_n_CountIf!$F$1:$N$22</definedName>
  </definedNames>
  <calcPr calcId="162913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2" i="16" l="1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8" i="16"/>
  <c r="X7" i="16"/>
  <c r="X6" i="16"/>
  <c r="X5" i="16"/>
  <c r="X4" i="16"/>
  <c r="X3" i="16"/>
  <c r="W3" i="16"/>
  <c r="V3" i="16"/>
  <c r="V7" i="19"/>
  <c r="V5" i="19" l="1"/>
  <c r="V4" i="19"/>
  <c r="U23" i="19" l="1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O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S23" i="19"/>
  <c r="S22" i="19"/>
  <c r="S21" i="19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R23" i="19" l="1"/>
  <c r="R22" i="19"/>
  <c r="R21" i="19"/>
  <c r="R20" i="19"/>
  <c r="R19" i="19"/>
  <c r="R17" i="19"/>
  <c r="R18" i="19"/>
  <c r="R12" i="19"/>
  <c r="R16" i="19"/>
  <c r="R15" i="19"/>
  <c r="R14" i="19"/>
  <c r="R13" i="19"/>
  <c r="R10" i="19"/>
  <c r="R11" i="19"/>
  <c r="R8" i="19"/>
  <c r="R9" i="19"/>
  <c r="R7" i="19"/>
  <c r="R6" i="19"/>
  <c r="R4" i="19"/>
  <c r="R5" i="19"/>
  <c r="Q4" i="19"/>
  <c r="Q6" i="19"/>
  <c r="Q7" i="19"/>
  <c r="Q9" i="19"/>
  <c r="Q8" i="19"/>
  <c r="Q11" i="19"/>
  <c r="Q10" i="19"/>
  <c r="Q13" i="19"/>
  <c r="Q14" i="19"/>
  <c r="Q15" i="19"/>
  <c r="Q16" i="19"/>
  <c r="Q12" i="19"/>
  <c r="Q18" i="19"/>
  <c r="Q17" i="19"/>
  <c r="Q19" i="19"/>
  <c r="Q20" i="19"/>
  <c r="Q21" i="19"/>
  <c r="Q22" i="19"/>
  <c r="Q23" i="19"/>
  <c r="Q5" i="19"/>
  <c r="N23" i="19"/>
  <c r="N22" i="19"/>
  <c r="N21" i="19"/>
  <c r="N20" i="19"/>
  <c r="N19" i="19"/>
  <c r="N17" i="19"/>
  <c r="N18" i="19"/>
  <c r="N12" i="19"/>
  <c r="N16" i="19"/>
  <c r="N15" i="19"/>
  <c r="N14" i="19"/>
  <c r="N13" i="19"/>
  <c r="N10" i="19"/>
  <c r="N11" i="19"/>
  <c r="N8" i="19"/>
  <c r="N9" i="19"/>
  <c r="N7" i="19"/>
  <c r="N6" i="19"/>
  <c r="N4" i="19"/>
  <c r="N5" i="19"/>
  <c r="M23" i="19"/>
  <c r="M22" i="19"/>
  <c r="M21" i="19"/>
  <c r="M20" i="19"/>
  <c r="M19" i="19"/>
  <c r="M17" i="19"/>
  <c r="M18" i="19"/>
  <c r="M12" i="19"/>
  <c r="M16" i="19"/>
  <c r="M15" i="19"/>
  <c r="M14" i="19"/>
  <c r="M13" i="19"/>
  <c r="M10" i="19"/>
  <c r="M11" i="19"/>
  <c r="M8" i="19"/>
  <c r="M9" i="19"/>
  <c r="M7" i="19"/>
  <c r="M6" i="19"/>
  <c r="M4" i="19"/>
  <c r="M5" i="19"/>
  <c r="L23" i="19"/>
  <c r="L22" i="19"/>
  <c r="L21" i="19"/>
  <c r="L20" i="19"/>
  <c r="L19" i="19"/>
  <c r="L17" i="19"/>
  <c r="L18" i="19"/>
  <c r="L12" i="19"/>
  <c r="L16" i="19"/>
  <c r="L15" i="19"/>
  <c r="L14" i="19"/>
  <c r="L13" i="19"/>
  <c r="L10" i="19"/>
  <c r="L11" i="19"/>
  <c r="L8" i="19"/>
  <c r="L9" i="19"/>
  <c r="L7" i="19"/>
  <c r="L6" i="19"/>
  <c r="L4" i="19"/>
  <c r="L5" i="19"/>
  <c r="K23" i="19"/>
  <c r="K22" i="19"/>
  <c r="K21" i="19"/>
  <c r="K20" i="19"/>
  <c r="K19" i="19"/>
  <c r="K17" i="19"/>
  <c r="K18" i="19"/>
  <c r="K12" i="19"/>
  <c r="K16" i="19"/>
  <c r="K15" i="19"/>
  <c r="K14" i="19"/>
  <c r="K13" i="19"/>
  <c r="K10" i="19"/>
  <c r="K11" i="19"/>
  <c r="K8" i="19"/>
  <c r="K9" i="19"/>
  <c r="K7" i="19"/>
  <c r="K6" i="19"/>
  <c r="K4" i="19"/>
  <c r="K5" i="19"/>
  <c r="C6" i="17"/>
  <c r="C5" i="17"/>
  <c r="C4" i="17"/>
  <c r="C3" i="17"/>
  <c r="D21" i="15"/>
  <c r="D20" i="15"/>
  <c r="D19" i="15"/>
  <c r="D18" i="15"/>
  <c r="D17" i="15"/>
  <c r="D16" i="15"/>
  <c r="D15" i="15"/>
  <c r="D14" i="15"/>
  <c r="D13" i="15"/>
  <c r="D12" i="15"/>
  <c r="D11" i="15"/>
  <c r="D10" i="15"/>
  <c r="C21" i="15"/>
  <c r="C20" i="15"/>
  <c r="C19" i="15"/>
  <c r="C18" i="15"/>
  <c r="C17" i="15"/>
  <c r="C16" i="15"/>
  <c r="C15" i="15"/>
  <c r="C14" i="15"/>
  <c r="C13" i="15"/>
  <c r="C11" i="15"/>
  <c r="C12" i="15"/>
  <c r="C10" i="15"/>
  <c r="C6" i="15"/>
  <c r="C5" i="15"/>
  <c r="C4" i="15"/>
  <c r="C3" i="15"/>
  <c r="B6" i="15"/>
  <c r="B5" i="15"/>
  <c r="B4" i="15"/>
  <c r="B3" i="15"/>
  <c r="K22" i="15"/>
  <c r="J22" i="15"/>
  <c r="U21" i="16"/>
  <c r="U15" i="16"/>
  <c r="U13" i="16"/>
  <c r="U7" i="16"/>
  <c r="U5" i="16"/>
  <c r="T22" i="16"/>
  <c r="U22" i="16" s="1"/>
  <c r="T21" i="16"/>
  <c r="T20" i="16"/>
  <c r="U20" i="16" s="1"/>
  <c r="T19" i="16"/>
  <c r="U19" i="16" s="1"/>
  <c r="T18" i="16"/>
  <c r="U18" i="16" s="1"/>
  <c r="T17" i="16"/>
  <c r="U17" i="16" s="1"/>
  <c r="T16" i="16"/>
  <c r="U16" i="16" s="1"/>
  <c r="T15" i="16"/>
  <c r="T14" i="16"/>
  <c r="U14" i="16" s="1"/>
  <c r="T13" i="16"/>
  <c r="T12" i="16"/>
  <c r="U12" i="16" s="1"/>
  <c r="T11" i="16"/>
  <c r="U11" i="16" s="1"/>
  <c r="T10" i="16"/>
  <c r="U10" i="16" s="1"/>
  <c r="T9" i="16"/>
  <c r="U9" i="16" s="1"/>
  <c r="T8" i="16"/>
  <c r="U8" i="16" s="1"/>
  <c r="T7" i="16"/>
  <c r="T6" i="16"/>
  <c r="U6" i="16" s="1"/>
  <c r="T5" i="16"/>
  <c r="T4" i="16"/>
  <c r="U4" i="16" s="1"/>
  <c r="T3" i="16"/>
  <c r="U3" i="16" s="1"/>
  <c r="Q22" i="16" l="1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P22" i="16"/>
  <c r="O22" i="16"/>
  <c r="P21" i="16"/>
  <c r="O21" i="16"/>
  <c r="P20" i="16"/>
  <c r="O20" i="16"/>
  <c r="P19" i="16"/>
  <c r="O19" i="16"/>
  <c r="P18" i="16"/>
  <c r="O18" i="16"/>
  <c r="P17" i="16"/>
  <c r="O17" i="16"/>
  <c r="P16" i="16"/>
  <c r="O16" i="16"/>
  <c r="P15" i="16"/>
  <c r="O15" i="16"/>
  <c r="P14" i="16"/>
  <c r="O14" i="16"/>
  <c r="P13" i="16"/>
  <c r="O13" i="16"/>
  <c r="P12" i="16"/>
  <c r="O12" i="16"/>
  <c r="P11" i="16"/>
  <c r="O11" i="16"/>
  <c r="P10" i="16"/>
  <c r="O10" i="16"/>
  <c r="P9" i="16"/>
  <c r="O9" i="16"/>
  <c r="P8" i="16"/>
  <c r="O8" i="16"/>
  <c r="P7" i="16"/>
  <c r="O7" i="16"/>
  <c r="P6" i="16"/>
  <c r="O6" i="16"/>
  <c r="P5" i="16"/>
  <c r="O5" i="16"/>
  <c r="P4" i="16"/>
  <c r="O4" i="16"/>
  <c r="P3" i="16"/>
  <c r="O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" i="16"/>
  <c r="N4" i="16"/>
  <c r="N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M4" i="16"/>
  <c r="M3" i="16"/>
  <c r="L22" i="16"/>
  <c r="R22" i="16" s="1"/>
  <c r="L21" i="16"/>
  <c r="R21" i="16" s="1"/>
  <c r="L20" i="16"/>
  <c r="R20" i="16" s="1"/>
  <c r="L19" i="16"/>
  <c r="R19" i="16" s="1"/>
  <c r="L18" i="16"/>
  <c r="R18" i="16" s="1"/>
  <c r="L17" i="16"/>
  <c r="R17" i="16" s="1"/>
  <c r="L16" i="16"/>
  <c r="R16" i="16" s="1"/>
  <c r="L15" i="16"/>
  <c r="R15" i="16" s="1"/>
  <c r="L14" i="16"/>
  <c r="R14" i="16" s="1"/>
  <c r="L13" i="16"/>
  <c r="R13" i="16" s="1"/>
  <c r="L12" i="16"/>
  <c r="R12" i="16" s="1"/>
  <c r="L11" i="16"/>
  <c r="R11" i="16" s="1"/>
  <c r="L10" i="16"/>
  <c r="R10" i="16" s="1"/>
  <c r="L9" i="16"/>
  <c r="R9" i="16" s="1"/>
  <c r="L8" i="16"/>
  <c r="R8" i="16" s="1"/>
  <c r="L7" i="16"/>
  <c r="R7" i="16" s="1"/>
  <c r="L6" i="16"/>
  <c r="R6" i="16" s="1"/>
  <c r="L5" i="16"/>
  <c r="R5" i="16" s="1"/>
  <c r="L4" i="16"/>
  <c r="R4" i="16" s="1"/>
  <c r="L3" i="16"/>
  <c r="R3" i="16" s="1"/>
  <c r="G24" i="19"/>
  <c r="F24" i="19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E22" i="14" l="1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G23" i="16" l="1"/>
  <c r="F23" i="16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2" i="13"/>
  <c r="L3" i="13"/>
  <c r="K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K3" i="13"/>
  <c r="P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N2" i="13"/>
  <c r="F22" i="13"/>
  <c r="E22" i="13"/>
</calcChain>
</file>

<file path=xl/sharedStrings.xml><?xml version="1.0" encoding="utf-8"?>
<sst xmlns="http://schemas.openxmlformats.org/spreadsheetml/2006/main" count="1061" uniqueCount="186">
  <si>
    <t>Male</t>
  </si>
  <si>
    <t>Female</t>
  </si>
  <si>
    <t>EmpID</t>
  </si>
  <si>
    <t>Name</t>
  </si>
  <si>
    <t>Dept</t>
  </si>
  <si>
    <t>Region</t>
  </si>
  <si>
    <t>Salary</t>
  </si>
  <si>
    <t>Bonus</t>
  </si>
  <si>
    <t>Rating</t>
  </si>
  <si>
    <t>JoinDate</t>
  </si>
  <si>
    <t>Email</t>
  </si>
  <si>
    <t>E001</t>
  </si>
  <si>
    <t>John Smith</t>
  </si>
  <si>
    <t>Sales</t>
  </si>
  <si>
    <t>East</t>
  </si>
  <si>
    <t>john.smith@email.com</t>
  </si>
  <si>
    <t>E002</t>
  </si>
  <si>
    <t>Sara Khan</t>
  </si>
  <si>
    <t>HR</t>
  </si>
  <si>
    <t>West</t>
  </si>
  <si>
    <t>sara.khan@email.com</t>
  </si>
  <si>
    <t>E003</t>
  </si>
  <si>
    <t>Mike Johnson</t>
  </si>
  <si>
    <t>IT</t>
  </si>
  <si>
    <t>North</t>
  </si>
  <si>
    <t>mike.j@email.com</t>
  </si>
  <si>
    <t>E004</t>
  </si>
  <si>
    <t>Emily Davis</t>
  </si>
  <si>
    <t>South</t>
  </si>
  <si>
    <t>emily.d@email.com</t>
  </si>
  <si>
    <t>E005</t>
  </si>
  <si>
    <t>Raj Patel</t>
  </si>
  <si>
    <t>raj.patel@email.com</t>
  </si>
  <si>
    <t>E006</t>
  </si>
  <si>
    <t>Anna Lee</t>
  </si>
  <si>
    <t>anna.lee@email.com</t>
  </si>
  <si>
    <t>E007</t>
  </si>
  <si>
    <t>Chris Brown</t>
  </si>
  <si>
    <t>chris.b@email.com</t>
  </si>
  <si>
    <t>E008</t>
  </si>
  <si>
    <t>David Wilson</t>
  </si>
  <si>
    <t>david.w@email.com</t>
  </si>
  <si>
    <t>E009</t>
  </si>
  <si>
    <t>Lisa Taylor</t>
  </si>
  <si>
    <t>lisa.t@email.com</t>
  </si>
  <si>
    <t>E010</t>
  </si>
  <si>
    <t>Tom Anderson</t>
  </si>
  <si>
    <t>tom.a@email.com</t>
  </si>
  <si>
    <t>E011</t>
  </si>
  <si>
    <t>Nina Gupta</t>
  </si>
  <si>
    <t>nina.g@email.com</t>
  </si>
  <si>
    <t>E012</t>
  </si>
  <si>
    <t>Alex Martinez</t>
  </si>
  <si>
    <t>alex.m@email.com</t>
  </si>
  <si>
    <t>E013</t>
  </si>
  <si>
    <t>Kevin White</t>
  </si>
  <si>
    <t>kevin.w@email.com</t>
  </si>
  <si>
    <t>E014</t>
  </si>
  <si>
    <t>Priya Sharma</t>
  </si>
  <si>
    <t>priya.s@email.com</t>
  </si>
  <si>
    <t>E015</t>
  </si>
  <si>
    <t>Daniel Clark</t>
  </si>
  <si>
    <t>daniel.c@email.com</t>
  </si>
  <si>
    <t>E016</t>
  </si>
  <si>
    <t>Sophia Lewis</t>
  </si>
  <si>
    <t>sophia.l@email.com</t>
  </si>
  <si>
    <t>E017</t>
  </si>
  <si>
    <t>James Walker</t>
  </si>
  <si>
    <t>james.w@email.com</t>
  </si>
  <si>
    <t>E018</t>
  </si>
  <si>
    <t>Olivia Hall</t>
  </si>
  <si>
    <t>olivia.h@email.com</t>
  </si>
  <si>
    <t>E019</t>
  </si>
  <si>
    <t>Ethan Allen</t>
  </si>
  <si>
    <t>ethan.a@email.com</t>
  </si>
  <si>
    <t>E020</t>
  </si>
  <si>
    <t>Chloe Young</t>
  </si>
  <si>
    <t>chloe.y@email.com</t>
  </si>
  <si>
    <t>Gender</t>
  </si>
  <si>
    <t>Department</t>
  </si>
  <si>
    <t>Sum if</t>
  </si>
  <si>
    <t>Count IF</t>
  </si>
  <si>
    <t>SumIfs</t>
  </si>
  <si>
    <t>CountIfs</t>
  </si>
  <si>
    <t>IF</t>
  </si>
  <si>
    <t>AND</t>
  </si>
  <si>
    <t>OR</t>
  </si>
  <si>
    <t>NOT</t>
  </si>
  <si>
    <t>IF Basic</t>
  </si>
  <si>
    <t>Nested IF</t>
  </si>
  <si>
    <t>LEFT</t>
  </si>
  <si>
    <t>RIGHT</t>
  </si>
  <si>
    <t>MID</t>
  </si>
  <si>
    <t>LEN</t>
  </si>
  <si>
    <t>CONCAT</t>
  </si>
  <si>
    <t>E021</t>
  </si>
  <si>
    <t>Omkar Bhat</t>
  </si>
  <si>
    <t>Email id</t>
  </si>
  <si>
    <t>emailid</t>
  </si>
  <si>
    <t>resume at 10:00</t>
  </si>
  <si>
    <t>First Name</t>
  </si>
  <si>
    <t>Lisa</t>
  </si>
  <si>
    <t>Taylor</t>
  </si>
  <si>
    <t>Daniel</t>
  </si>
  <si>
    <t>Clark</t>
  </si>
  <si>
    <t>Anna</t>
  </si>
  <si>
    <t>Lee</t>
  </si>
  <si>
    <t>Olivia</t>
  </si>
  <si>
    <t>Hall</t>
  </si>
  <si>
    <t>Alex</t>
  </si>
  <si>
    <t>Martinez</t>
  </si>
  <si>
    <t>Sara</t>
  </si>
  <si>
    <t>Khan</t>
  </si>
  <si>
    <t>Ethan</t>
  </si>
  <si>
    <t>Allen</t>
  </si>
  <si>
    <t>Chris</t>
  </si>
  <si>
    <t>Brown</t>
  </si>
  <si>
    <t>Tom</t>
  </si>
  <si>
    <t>Anderson</t>
  </si>
  <si>
    <t>Emily</t>
  </si>
  <si>
    <t>Davis</t>
  </si>
  <si>
    <t>Kevin</t>
  </si>
  <si>
    <t>White</t>
  </si>
  <si>
    <t>Sophia</t>
  </si>
  <si>
    <t>Lewis</t>
  </si>
  <si>
    <t>John</t>
  </si>
  <si>
    <t>Smith</t>
  </si>
  <si>
    <t>David</t>
  </si>
  <si>
    <t>Wilson</t>
  </si>
  <si>
    <t>Mike</t>
  </si>
  <si>
    <t>Johnson</t>
  </si>
  <si>
    <t>James</t>
  </si>
  <si>
    <t>Walker</t>
  </si>
  <si>
    <t>Nina</t>
  </si>
  <si>
    <t>Gupta</t>
  </si>
  <si>
    <t>Chloe</t>
  </si>
  <si>
    <t>Young</t>
  </si>
  <si>
    <t>Raj</t>
  </si>
  <si>
    <t>Patel</t>
  </si>
  <si>
    <t>Priya</t>
  </si>
  <si>
    <t>Sharma</t>
  </si>
  <si>
    <t>Last Name</t>
  </si>
  <si>
    <t>Full NAME</t>
  </si>
  <si>
    <t>&amp;</t>
  </si>
  <si>
    <t>FIND</t>
  </si>
  <si>
    <t>mid(start_char,numberChar)</t>
  </si>
  <si>
    <t>Number of Char</t>
  </si>
  <si>
    <t>use elft</t>
  </si>
  <si>
    <t>Homework</t>
  </si>
  <si>
    <t>exctract domain from email</t>
  </si>
  <si>
    <t>=SUMIF(Range,Criteria,Sum_Range)</t>
  </si>
  <si>
    <t>=COUNTIF(Range,criteria)</t>
  </si>
  <si>
    <t>Sum of Salary</t>
  </si>
  <si>
    <t>=SUMIFS(sum_range,Cri_ra1,cri1,Cri_ra2,cri2,…….)</t>
  </si>
  <si>
    <t>=COUNTIFS(cri_range1,cri1,cri_range2,cri2)</t>
  </si>
  <si>
    <t>Criteria</t>
  </si>
  <si>
    <t>Criteria1</t>
  </si>
  <si>
    <t>Criteria2</t>
  </si>
  <si>
    <t>resume at 09:55</t>
  </si>
  <si>
    <t>less than</t>
  </si>
  <si>
    <t>Greater Than</t>
  </si>
  <si>
    <t>Equal to</t>
  </si>
  <si>
    <t>Daniel Clarkk</t>
  </si>
  <si>
    <t>Olivia Hal</t>
  </si>
  <si>
    <t>Chris Brow</t>
  </si>
  <si>
    <t xml:space="preserve">Sophia Lewis </t>
  </si>
  <si>
    <t>Not Equal TO</t>
  </si>
  <si>
    <t>if condition</t>
  </si>
  <si>
    <t>Name1</t>
  </si>
  <si>
    <t>Name2</t>
  </si>
  <si>
    <t>=IF(LogicalTest,"Value_If_True","Value_If_False")</t>
  </si>
  <si>
    <t>high Sal</t>
  </si>
  <si>
    <t>less than 50000</t>
  </si>
  <si>
    <t>less</t>
  </si>
  <si>
    <t>less than 60000</t>
  </si>
  <si>
    <t>avg</t>
  </si>
  <si>
    <t>less 480000</t>
  </si>
  <si>
    <t>min</t>
  </si>
  <si>
    <t>less than 65000</t>
  </si>
  <si>
    <t>more than 65000</t>
  </si>
  <si>
    <t>max</t>
  </si>
  <si>
    <t>=IF(AND(LogTest01,LogTest02),ValueIfTrue,ValueIfFalse)</t>
  </si>
  <si>
    <t>=IF(OR(LogTest01,LogTest02),ValueIfTrue,ValueIfFalse)</t>
  </si>
  <si>
    <t>LastName</t>
  </si>
  <si>
    <t>Start char</t>
  </si>
  <si>
    <t>numchar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</si>
</sst>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2" fillId="0" borderId="1" xfId="1" applyBorder="1" applyAlignme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 applyAlignment="1"/>
    <xf numFmtId="0" fontId="5" fillId="0" borderId="0" xfId="0" applyFont="1" applyAlignment="1"/>
    <xf numFmtId="164" fontId="0" fillId="0" borderId="0" xfId="2" applyNumberFormat="1" applyFont="1"/>
    <xf numFmtId="0" fontId="0" fillId="0" borderId="0" xfId="0" pivotButton="1"/>
    <xf numFmtId="0" fontId="0" fillId="0" borderId="0" xfId="0" applyNumberFormat="1"/>
    <xf numFmtId="0" fontId="1" fillId="2" borderId="1" xfId="0" applyFont="1" applyFill="1" applyBorder="1"/>
    <xf numFmtId="164" fontId="0" fillId="2" borderId="1" xfId="2" quotePrefix="1" applyNumberFormat="1" applyFont="1" applyFill="1" applyBorder="1" applyAlignment="1">
      <alignment wrapText="1"/>
    </xf>
    <xf numFmtId="0" fontId="0" fillId="2" borderId="1" xfId="0" quotePrefix="1" applyFill="1" applyBorder="1" applyAlignment="1">
      <alignment wrapText="1"/>
    </xf>
    <xf numFmtId="164" fontId="0" fillId="2" borderId="1" xfId="2" applyNumberFormat="1" applyFont="1" applyFill="1" applyBorder="1"/>
    <xf numFmtId="0" fontId="0" fillId="2" borderId="1" xfId="0" applyFill="1" applyBorder="1"/>
    <xf numFmtId="0" fontId="1" fillId="0" borderId="1" xfId="0" applyFont="1" applyBorder="1"/>
    <xf numFmtId="164" fontId="0" fillId="0" borderId="1" xfId="2" applyNumberFormat="1" applyFont="1" applyBorder="1"/>
    <xf numFmtId="0" fontId="0" fillId="0" borderId="1" xfId="0" applyBorder="1"/>
    <xf numFmtId="164" fontId="0" fillId="2" borderId="1" xfId="2" quotePrefix="1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0" xfId="2" applyNumberFormat="1" applyFont="1" applyAlignment="1"/>
    <xf numFmtId="0" fontId="6" fillId="0" borderId="0" xfId="0" applyFont="1" applyFill="1" applyBorder="1" applyAlignment="1"/>
    <xf numFmtId="0" fontId="6" fillId="0" borderId="1" xfId="0" applyFont="1" applyFill="1" applyBorder="1" applyAlignment="1">
      <alignment vertical="center"/>
    </xf>
    <xf numFmtId="164" fontId="6" fillId="0" borderId="1" xfId="2" applyNumberFormat="1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164" fontId="0" fillId="0" borderId="0" xfId="2" applyNumberFormat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VRAJ%20SHINDE\Desktop\LookupValueTB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Sheet5"/>
      <sheetName val="Sheet4"/>
    </sheetNames>
    <sheetDataSet>
      <sheetData sheetId="0"/>
      <sheetData sheetId="1">
        <row r="1">
          <cell r="A1" t="str">
            <v>EmpID</v>
          </cell>
          <cell r="B1" t="str">
            <v>Region</v>
          </cell>
          <cell r="C1" t="str">
            <v>Name</v>
          </cell>
          <cell r="D1" t="str">
            <v>Dept</v>
          </cell>
          <cell r="E1" t="str">
            <v>Salary</v>
          </cell>
          <cell r="F1" t="str">
            <v>Bonus</v>
          </cell>
          <cell r="G1" t="str">
            <v>Rating</v>
          </cell>
          <cell r="H1" t="str">
            <v>JoinDate</v>
          </cell>
          <cell r="I1" t="str">
            <v>Email</v>
          </cell>
        </row>
        <row r="2">
          <cell r="A2" t="str">
            <v>E009</v>
          </cell>
          <cell r="B2" t="str">
            <v>East</v>
          </cell>
          <cell r="C2" t="str">
            <v>Lisa Taylor</v>
          </cell>
          <cell r="D2" t="str">
            <v>HR</v>
          </cell>
          <cell r="E2">
            <v>46000</v>
          </cell>
          <cell r="F2">
            <v>2000</v>
          </cell>
          <cell r="G2">
            <v>2</v>
          </cell>
          <cell r="H2">
            <v>44668</v>
          </cell>
          <cell r="I2" t="str">
            <v>lisa.t@email.com</v>
          </cell>
        </row>
        <row r="3">
          <cell r="A3" t="str">
            <v>E015</v>
          </cell>
          <cell r="B3" t="str">
            <v>West</v>
          </cell>
          <cell r="C3" t="str">
            <v>Daniel Clark</v>
          </cell>
          <cell r="D3" t="str">
            <v>HR</v>
          </cell>
          <cell r="E3">
            <v>45000</v>
          </cell>
          <cell r="F3">
            <v>2200</v>
          </cell>
          <cell r="G3">
            <v>2</v>
          </cell>
          <cell r="H3">
            <v>44448</v>
          </cell>
          <cell r="I3" t="str">
            <v>daniel.c@email.com</v>
          </cell>
        </row>
        <row r="4">
          <cell r="A4" t="str">
            <v>E006</v>
          </cell>
          <cell r="B4" t="str">
            <v>North</v>
          </cell>
          <cell r="C4" t="str">
            <v>Anna Lee</v>
          </cell>
          <cell r="D4" t="str">
            <v>HR</v>
          </cell>
          <cell r="E4">
            <v>47000</v>
          </cell>
          <cell r="F4">
            <v>2500</v>
          </cell>
          <cell r="G4">
            <v>3</v>
          </cell>
          <cell r="H4">
            <v>44359</v>
          </cell>
          <cell r="I4" t="str">
            <v>anna.lee@email.com</v>
          </cell>
        </row>
        <row r="5">
          <cell r="A5" t="str">
            <v>E018</v>
          </cell>
          <cell r="B5" t="str">
            <v>North</v>
          </cell>
          <cell r="C5" t="str">
            <v>Olivia Hall</v>
          </cell>
          <cell r="D5" t="str">
            <v>HR</v>
          </cell>
          <cell r="E5">
            <v>47000</v>
          </cell>
          <cell r="F5">
            <v>2600</v>
          </cell>
          <cell r="G5">
            <v>3</v>
          </cell>
          <cell r="H5">
            <v>44620</v>
          </cell>
          <cell r="I5" t="str">
            <v>olivia.h@email.com</v>
          </cell>
        </row>
        <row r="6">
          <cell r="A6" t="str">
            <v>E012</v>
          </cell>
          <cell r="B6" t="str">
            <v>South</v>
          </cell>
          <cell r="C6" t="str">
            <v>Alex Martinez</v>
          </cell>
          <cell r="D6" t="str">
            <v>HR</v>
          </cell>
          <cell r="E6">
            <v>49000</v>
          </cell>
          <cell r="F6">
            <v>2800</v>
          </cell>
          <cell r="G6">
            <v>3</v>
          </cell>
          <cell r="H6">
            <v>44115</v>
          </cell>
          <cell r="I6" t="str">
            <v>alex.m@email.com</v>
          </cell>
        </row>
        <row r="7">
          <cell r="A7" t="str">
            <v>E002</v>
          </cell>
          <cell r="B7" t="str">
            <v>West</v>
          </cell>
          <cell r="C7" t="str">
            <v>Sara Khan</v>
          </cell>
          <cell r="D7" t="str">
            <v>HR</v>
          </cell>
          <cell r="E7">
            <v>48000</v>
          </cell>
          <cell r="F7">
            <v>3000</v>
          </cell>
          <cell r="G7">
            <v>3</v>
          </cell>
          <cell r="H7">
            <v>44022</v>
          </cell>
          <cell r="I7" t="str">
            <v>sara.khan@email.com</v>
          </cell>
        </row>
        <row r="8">
          <cell r="A8" t="str">
            <v>E019</v>
          </cell>
          <cell r="B8" t="str">
            <v>West</v>
          </cell>
          <cell r="C8" t="str">
            <v>Ethan Allen</v>
          </cell>
          <cell r="D8" t="str">
            <v>Sales</v>
          </cell>
          <cell r="E8">
            <v>52000</v>
          </cell>
          <cell r="F8">
            <v>3900</v>
          </cell>
          <cell r="G8">
            <v>4</v>
          </cell>
          <cell r="H8">
            <v>44329</v>
          </cell>
          <cell r="I8" t="str">
            <v>ethan.a@email.com</v>
          </cell>
        </row>
        <row r="9">
          <cell r="A9" t="str">
            <v>E007</v>
          </cell>
          <cell r="B9" t="str">
            <v>West</v>
          </cell>
          <cell r="C9" t="str">
            <v>Chris Brown</v>
          </cell>
          <cell r="D9" t="str">
            <v>Sales</v>
          </cell>
          <cell r="E9">
            <v>51000</v>
          </cell>
          <cell r="F9">
            <v>4000</v>
          </cell>
          <cell r="G9">
            <v>4</v>
          </cell>
          <cell r="H9">
            <v>43886</v>
          </cell>
          <cell r="I9" t="str">
            <v>chris.b@email.com</v>
          </cell>
        </row>
        <row r="10">
          <cell r="A10" t="str">
            <v>E010</v>
          </cell>
          <cell r="B10" t="str">
            <v>North</v>
          </cell>
          <cell r="C10" t="str">
            <v>Tom Anderson</v>
          </cell>
          <cell r="D10" t="str">
            <v>Sales</v>
          </cell>
          <cell r="E10">
            <v>53000</v>
          </cell>
          <cell r="F10">
            <v>4200</v>
          </cell>
          <cell r="G10">
            <v>4</v>
          </cell>
          <cell r="H10">
            <v>44531</v>
          </cell>
          <cell r="I10" t="str">
            <v>tom.a@email.com</v>
          </cell>
        </row>
        <row r="11">
          <cell r="A11" t="str">
            <v>E004</v>
          </cell>
          <cell r="B11" t="str">
            <v>South</v>
          </cell>
          <cell r="C11" t="str">
            <v>Emily Davis</v>
          </cell>
          <cell r="D11" t="str">
            <v>Sales</v>
          </cell>
          <cell r="E11">
            <v>54000</v>
          </cell>
          <cell r="F11">
            <v>4500</v>
          </cell>
          <cell r="G11">
            <v>4</v>
          </cell>
          <cell r="H11">
            <v>44566</v>
          </cell>
          <cell r="I11" t="str">
            <v>emily.d@email.com</v>
          </cell>
        </row>
        <row r="12">
          <cell r="A12" t="str">
            <v>E013</v>
          </cell>
          <cell r="B12" t="str">
            <v>East</v>
          </cell>
          <cell r="C12" t="str">
            <v>Kevin White</v>
          </cell>
          <cell r="D12" t="str">
            <v>Sales</v>
          </cell>
          <cell r="E12">
            <v>55000</v>
          </cell>
          <cell r="F12">
            <v>4700</v>
          </cell>
          <cell r="G12">
            <v>4</v>
          </cell>
          <cell r="H12">
            <v>43527</v>
          </cell>
          <cell r="I12" t="str">
            <v>kevin.w@email.com</v>
          </cell>
        </row>
        <row r="13">
          <cell r="A13" t="str">
            <v>E016</v>
          </cell>
          <cell r="B13" t="str">
            <v>South</v>
          </cell>
          <cell r="C13" t="str">
            <v>Sophia Lewis</v>
          </cell>
          <cell r="D13" t="str">
            <v>Sales</v>
          </cell>
          <cell r="E13">
            <v>56000</v>
          </cell>
          <cell r="F13">
            <v>4800</v>
          </cell>
          <cell r="G13">
            <v>4</v>
          </cell>
          <cell r="H13">
            <v>43849</v>
          </cell>
          <cell r="I13" t="str">
            <v>sophia.l@email.com</v>
          </cell>
        </row>
        <row r="14">
          <cell r="A14" t="str">
            <v>E001</v>
          </cell>
          <cell r="B14" t="str">
            <v>East</v>
          </cell>
          <cell r="C14" t="str">
            <v>John Smith</v>
          </cell>
          <cell r="D14" t="str">
            <v>Sales</v>
          </cell>
          <cell r="E14">
            <v>52000</v>
          </cell>
          <cell r="F14">
            <v>5000</v>
          </cell>
          <cell r="G14">
            <v>4</v>
          </cell>
          <cell r="H14">
            <v>44270</v>
          </cell>
          <cell r="I14" t="str">
            <v>john.smith@email.com</v>
          </cell>
        </row>
        <row r="15">
          <cell r="A15" t="str">
            <v>E008</v>
          </cell>
          <cell r="B15" t="str">
            <v>South</v>
          </cell>
          <cell r="C15" t="str">
            <v>David Wilson</v>
          </cell>
          <cell r="D15" t="str">
            <v>IT</v>
          </cell>
          <cell r="E15">
            <v>68000</v>
          </cell>
          <cell r="F15">
            <v>6000</v>
          </cell>
          <cell r="G15">
            <v>5</v>
          </cell>
          <cell r="H15">
            <v>43707</v>
          </cell>
          <cell r="I15" t="str">
            <v>david.w@email.com</v>
          </cell>
        </row>
        <row r="16">
          <cell r="A16" t="str">
            <v>E003</v>
          </cell>
          <cell r="B16" t="str">
            <v>North</v>
          </cell>
          <cell r="C16" t="str">
            <v>Mike Johnson</v>
          </cell>
          <cell r="D16" t="str">
            <v>IT</v>
          </cell>
          <cell r="E16">
            <v>65000</v>
          </cell>
          <cell r="F16">
            <v>7000</v>
          </cell>
          <cell r="G16">
            <v>5</v>
          </cell>
          <cell r="H16">
            <v>43791</v>
          </cell>
          <cell r="I16" t="str">
            <v>mike.j@email.com</v>
          </cell>
        </row>
        <row r="17">
          <cell r="A17" t="str">
            <v>E017</v>
          </cell>
          <cell r="B17" t="str">
            <v>East</v>
          </cell>
          <cell r="C17" t="str">
            <v>James Walker</v>
          </cell>
          <cell r="D17" t="str">
            <v>IT</v>
          </cell>
          <cell r="E17">
            <v>69000</v>
          </cell>
          <cell r="F17">
            <v>7100</v>
          </cell>
          <cell r="G17">
            <v>5</v>
          </cell>
          <cell r="H17">
            <v>43622</v>
          </cell>
          <cell r="I17" t="str">
            <v>james.w@email.com</v>
          </cell>
        </row>
        <row r="18">
          <cell r="A18" t="str">
            <v>E011</v>
          </cell>
          <cell r="B18" t="str">
            <v>West</v>
          </cell>
          <cell r="C18" t="str">
            <v>Nina Gupta</v>
          </cell>
          <cell r="D18" t="str">
            <v>IT</v>
          </cell>
          <cell r="E18">
            <v>70000</v>
          </cell>
          <cell r="F18">
            <v>7500</v>
          </cell>
          <cell r="G18">
            <v>5</v>
          </cell>
          <cell r="H18">
            <v>43241</v>
          </cell>
          <cell r="I18" t="str">
            <v>nina.g@email.com</v>
          </cell>
        </row>
        <row r="19">
          <cell r="A19" t="str">
            <v>E020</v>
          </cell>
          <cell r="B19" t="str">
            <v>South</v>
          </cell>
          <cell r="C19" t="str">
            <v>Chloe Young</v>
          </cell>
          <cell r="D19" t="str">
            <v>IT</v>
          </cell>
          <cell r="E19">
            <v>71000</v>
          </cell>
          <cell r="F19">
            <v>7800</v>
          </cell>
          <cell r="G19">
            <v>5</v>
          </cell>
          <cell r="H19">
            <v>43458</v>
          </cell>
          <cell r="I19" t="str">
            <v>chloe.y@email.com</v>
          </cell>
        </row>
        <row r="20">
          <cell r="A20" t="str">
            <v>E005</v>
          </cell>
          <cell r="B20" t="str">
            <v>East</v>
          </cell>
          <cell r="C20" t="str">
            <v>Raj Patel</v>
          </cell>
          <cell r="D20" t="str">
            <v>IT</v>
          </cell>
          <cell r="E20">
            <v>72000</v>
          </cell>
          <cell r="F20">
            <v>8000</v>
          </cell>
          <cell r="G20">
            <v>5</v>
          </cell>
          <cell r="H20">
            <v>43361</v>
          </cell>
          <cell r="I20" t="str">
            <v>raj.patel@email.com</v>
          </cell>
        </row>
        <row r="21">
          <cell r="A21" t="str">
            <v>E014</v>
          </cell>
          <cell r="B21" t="str">
            <v>North</v>
          </cell>
          <cell r="C21" t="str">
            <v>Priya Sharma</v>
          </cell>
          <cell r="D21" t="str">
            <v>IT</v>
          </cell>
          <cell r="E21">
            <v>73000</v>
          </cell>
          <cell r="F21">
            <v>8200</v>
          </cell>
          <cell r="G21">
            <v>5</v>
          </cell>
          <cell r="H21">
            <v>42930</v>
          </cell>
          <cell r="I21" t="str">
            <v>priya.s@email.com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VRAJ SHINDE" refreshedDate="46148.393317592592" createdVersion="6" refreshedVersion="6" minRefreshableVersion="3" recordCount="20">
  <cacheSource type="worksheet">
    <worksheetSource ref="F1:N21" sheet="SumIF_n_CountIf"/>
  </cacheSource>
  <cacheFields count="9">
    <cacheField name="EmpID" numFmtId="0">
      <sharedItems/>
    </cacheField>
    <cacheField name="Name" numFmtId="0">
      <sharedItems/>
    </cacheField>
    <cacheField name="Dept" numFmtId="0">
      <sharedItems count="3">
        <s v="HR"/>
        <s v="Sales"/>
        <s v="IT"/>
      </sharedItems>
    </cacheField>
    <cacheField name="Region" numFmtId="0">
      <sharedItems count="4">
        <s v="East"/>
        <s v="West"/>
        <s v="North"/>
        <s v="South"/>
      </sharedItems>
    </cacheField>
    <cacheField name="Salary" numFmtId="0">
      <sharedItems containsSemiMixedTypes="0" containsString="0" containsNumber="1" containsInteger="1" minValue="45000" maxValue="73000"/>
    </cacheField>
    <cacheField name="Bonus" numFmtId="0">
      <sharedItems containsSemiMixedTypes="0" containsString="0" containsNumber="1" containsInteger="1" minValue="2000" maxValue="8200"/>
    </cacheField>
    <cacheField name="Rating" numFmtId="0">
      <sharedItems containsSemiMixedTypes="0" containsString="0" containsNumber="1" containsInteger="1" minValue="2" maxValue="5"/>
    </cacheField>
    <cacheField name="JoinDate" numFmtId="14">
      <sharedItems containsSemiMixedTypes="0" containsNonDate="0" containsDate="1" containsString="0" minDate="2017-07-14T00:00:00" maxDate="2022-04-18T00:00:00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s v="E009"/>
    <s v="Lisa Taylor"/>
    <x v="0"/>
    <x v="0"/>
    <n v="46000"/>
    <n v="2000"/>
    <n v="2"/>
    <d v="2022-04-17T00:00:00"/>
    <s v="lisa.t@email.com"/>
  </r>
  <r>
    <s v="E015"/>
    <s v="Daniel Clark"/>
    <x v="0"/>
    <x v="1"/>
    <n v="45000"/>
    <n v="2200"/>
    <n v="2"/>
    <d v="2021-09-09T00:00:00"/>
    <s v="daniel.c@email.com"/>
  </r>
  <r>
    <s v="E006"/>
    <s v="Anna Lee"/>
    <x v="0"/>
    <x v="2"/>
    <n v="47000"/>
    <n v="2500"/>
    <n v="3"/>
    <d v="2021-06-12T00:00:00"/>
    <s v="anna.lee@email.com"/>
  </r>
  <r>
    <s v="E018"/>
    <s v="Olivia Hall"/>
    <x v="0"/>
    <x v="2"/>
    <n v="47000"/>
    <n v="2600"/>
    <n v="3"/>
    <d v="2022-02-28T00:00:00"/>
    <s v="olivia.h@email.com"/>
  </r>
  <r>
    <s v="E012"/>
    <s v="Alex Martinez"/>
    <x v="0"/>
    <x v="3"/>
    <n v="49000"/>
    <n v="2800"/>
    <n v="3"/>
    <d v="2020-10-11T00:00:00"/>
    <s v="alex.m@email.com"/>
  </r>
  <r>
    <s v="E002"/>
    <s v="Sara Khan"/>
    <x v="0"/>
    <x v="1"/>
    <n v="48000"/>
    <n v="3000"/>
    <n v="3"/>
    <d v="2020-07-10T00:00:00"/>
    <s v="sara.khan@email.com"/>
  </r>
  <r>
    <s v="E019"/>
    <s v="Ethan Allen"/>
    <x v="1"/>
    <x v="1"/>
    <n v="52000"/>
    <n v="3900"/>
    <n v="4"/>
    <d v="2021-05-13T00:00:00"/>
    <s v="ethan.a@email.com"/>
  </r>
  <r>
    <s v="E007"/>
    <s v="Chris Brown"/>
    <x v="1"/>
    <x v="1"/>
    <n v="51000"/>
    <n v="4000"/>
    <n v="4"/>
    <d v="2020-02-25T00:00:00"/>
    <s v="chris.b@email.com"/>
  </r>
  <r>
    <s v="E010"/>
    <s v="Tom Anderson"/>
    <x v="1"/>
    <x v="2"/>
    <n v="53000"/>
    <n v="4200"/>
    <n v="4"/>
    <d v="2021-12-01T00:00:00"/>
    <s v="tom.a@email.com"/>
  </r>
  <r>
    <s v="E004"/>
    <s v="Emily Davis"/>
    <x v="1"/>
    <x v="3"/>
    <n v="54000"/>
    <n v="4500"/>
    <n v="4"/>
    <d v="2022-01-05T00:00:00"/>
    <s v="emily.d@email.com"/>
  </r>
  <r>
    <s v="E013"/>
    <s v="Kevin White"/>
    <x v="1"/>
    <x v="0"/>
    <n v="55000"/>
    <n v="4700"/>
    <n v="4"/>
    <d v="2019-03-03T00:00:00"/>
    <s v="kevin.w@email.com"/>
  </r>
  <r>
    <s v="E016"/>
    <s v="Sophia Lewis"/>
    <x v="1"/>
    <x v="3"/>
    <n v="56000"/>
    <n v="4800"/>
    <n v="4"/>
    <d v="2020-01-19T00:00:00"/>
    <s v="sophia.l@email.com"/>
  </r>
  <r>
    <s v="E001"/>
    <s v="John Smith"/>
    <x v="1"/>
    <x v="0"/>
    <n v="52000"/>
    <n v="5000"/>
    <n v="4"/>
    <d v="2021-03-15T00:00:00"/>
    <s v="john.smith@email.com"/>
  </r>
  <r>
    <s v="E008"/>
    <s v="David Wilson"/>
    <x v="2"/>
    <x v="3"/>
    <n v="68000"/>
    <n v="6000"/>
    <n v="5"/>
    <d v="2019-08-30T00:00:00"/>
    <s v="david.w@email.com"/>
  </r>
  <r>
    <s v="E003"/>
    <s v="Mike Johnson"/>
    <x v="2"/>
    <x v="2"/>
    <n v="65000"/>
    <n v="7000"/>
    <n v="5"/>
    <d v="2019-11-22T00:00:00"/>
    <s v="mike.j@email.com"/>
  </r>
  <r>
    <s v="E017"/>
    <s v="James Walker"/>
    <x v="2"/>
    <x v="0"/>
    <n v="69000"/>
    <n v="7100"/>
    <n v="5"/>
    <d v="2019-06-06T00:00:00"/>
    <s v="james.w@email.com"/>
  </r>
  <r>
    <s v="E011"/>
    <s v="Nina Gupta"/>
    <x v="2"/>
    <x v="1"/>
    <n v="70000"/>
    <n v="7500"/>
    <n v="5"/>
    <d v="2018-05-21T00:00:00"/>
    <s v="nina.g@email.com"/>
  </r>
  <r>
    <s v="E020"/>
    <s v="Chloe Young"/>
    <x v="2"/>
    <x v="3"/>
    <n v="71000"/>
    <n v="7800"/>
    <n v="5"/>
    <d v="2018-12-24T00:00:00"/>
    <s v="chloe.y@email.com"/>
  </r>
  <r>
    <s v="E005"/>
    <s v="Raj Patel"/>
    <x v="2"/>
    <x v="0"/>
    <n v="72000"/>
    <n v="8000"/>
    <n v="5"/>
    <d v="2018-09-18T00:00:00"/>
    <s v="raj.patel@email.com"/>
  </r>
  <r>
    <s v="E014"/>
    <s v="Priya Sharma"/>
    <x v="2"/>
    <x v="2"/>
    <n v="73000"/>
    <n v="8200"/>
    <n v="5"/>
    <d v="2017-07-14T00:00:00"/>
    <s v="priya.s@e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C15" firstHeaderRow="1" firstDataRow="1" firstDataCol="2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12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evin.w@email.com" TargetMode="External"/><Relationship Id="rId13" Type="http://schemas.openxmlformats.org/officeDocument/2006/relationships/hyperlink" Target="mailto:david.w@email.com" TargetMode="External"/><Relationship Id="rId18" Type="http://schemas.openxmlformats.org/officeDocument/2006/relationships/hyperlink" Target="mailto:mike.j@email.com" TargetMode="External"/><Relationship Id="rId3" Type="http://schemas.openxmlformats.org/officeDocument/2006/relationships/hyperlink" Target="mailto:olivia.h@email.com" TargetMode="External"/><Relationship Id="rId7" Type="http://schemas.openxmlformats.org/officeDocument/2006/relationships/hyperlink" Target="mailto:priya.s@email.com" TargetMode="External"/><Relationship Id="rId12" Type="http://schemas.openxmlformats.org/officeDocument/2006/relationships/hyperlink" Target="mailto:lisa.t@email.com" TargetMode="External"/><Relationship Id="rId17" Type="http://schemas.openxmlformats.org/officeDocument/2006/relationships/hyperlink" Target="mailto:emily.d@email.com" TargetMode="External"/><Relationship Id="rId2" Type="http://schemas.openxmlformats.org/officeDocument/2006/relationships/hyperlink" Target="mailto:ethan.a@email.com" TargetMode="External"/><Relationship Id="rId16" Type="http://schemas.openxmlformats.org/officeDocument/2006/relationships/hyperlink" Target="mailto:raj.patel@email.com" TargetMode="External"/><Relationship Id="rId20" Type="http://schemas.openxmlformats.org/officeDocument/2006/relationships/hyperlink" Target="mailto:john.smith@email.com" TargetMode="External"/><Relationship Id="rId1" Type="http://schemas.openxmlformats.org/officeDocument/2006/relationships/hyperlink" Target="mailto:chloe.y@email.com" TargetMode="External"/><Relationship Id="rId6" Type="http://schemas.openxmlformats.org/officeDocument/2006/relationships/hyperlink" Target="mailto:daniel.c@email.com" TargetMode="External"/><Relationship Id="rId11" Type="http://schemas.openxmlformats.org/officeDocument/2006/relationships/hyperlink" Target="mailto:tom.a@email.com" TargetMode="External"/><Relationship Id="rId5" Type="http://schemas.openxmlformats.org/officeDocument/2006/relationships/hyperlink" Target="mailto:sophia.l@email.com" TargetMode="External"/><Relationship Id="rId15" Type="http://schemas.openxmlformats.org/officeDocument/2006/relationships/hyperlink" Target="mailto:anna.lee@email.com" TargetMode="External"/><Relationship Id="rId10" Type="http://schemas.openxmlformats.org/officeDocument/2006/relationships/hyperlink" Target="mailto:nina.g@email.com" TargetMode="External"/><Relationship Id="rId19" Type="http://schemas.openxmlformats.org/officeDocument/2006/relationships/hyperlink" Target="mailto:sara.khan@email.com" TargetMode="External"/><Relationship Id="rId4" Type="http://schemas.openxmlformats.org/officeDocument/2006/relationships/hyperlink" Target="mailto:james.w@email.com" TargetMode="External"/><Relationship Id="rId9" Type="http://schemas.openxmlformats.org/officeDocument/2006/relationships/hyperlink" Target="mailto:alex.m@email.com" TargetMode="External"/><Relationship Id="rId14" Type="http://schemas.openxmlformats.org/officeDocument/2006/relationships/hyperlink" Target="mailto:chris.b@e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w@email.com" TargetMode="External"/><Relationship Id="rId13" Type="http://schemas.openxmlformats.org/officeDocument/2006/relationships/hyperlink" Target="mailto:kevin.w@email.com" TargetMode="External"/><Relationship Id="rId18" Type="http://schemas.openxmlformats.org/officeDocument/2006/relationships/hyperlink" Target="mailto:olivia.h@email.com" TargetMode="External"/><Relationship Id="rId3" Type="http://schemas.openxmlformats.org/officeDocument/2006/relationships/hyperlink" Target="mailto:mike.j@email.com" TargetMode="External"/><Relationship Id="rId21" Type="http://schemas.openxmlformats.org/officeDocument/2006/relationships/printerSettings" Target="../printerSettings/printerSettings3.bin"/><Relationship Id="rId7" Type="http://schemas.openxmlformats.org/officeDocument/2006/relationships/hyperlink" Target="mailto:chris.b@email.com" TargetMode="External"/><Relationship Id="rId12" Type="http://schemas.openxmlformats.org/officeDocument/2006/relationships/hyperlink" Target="mailto:alex.m@email.com" TargetMode="External"/><Relationship Id="rId17" Type="http://schemas.openxmlformats.org/officeDocument/2006/relationships/hyperlink" Target="mailto:james.w@email.com" TargetMode="External"/><Relationship Id="rId2" Type="http://schemas.openxmlformats.org/officeDocument/2006/relationships/hyperlink" Target="mailto:sara.khan@email.com" TargetMode="External"/><Relationship Id="rId16" Type="http://schemas.openxmlformats.org/officeDocument/2006/relationships/hyperlink" Target="mailto:sophia.l@email.com" TargetMode="External"/><Relationship Id="rId20" Type="http://schemas.openxmlformats.org/officeDocument/2006/relationships/hyperlink" Target="mailto:chloe.y@email.com" TargetMode="External"/><Relationship Id="rId1" Type="http://schemas.openxmlformats.org/officeDocument/2006/relationships/hyperlink" Target="mailto:john.smith@email.com" TargetMode="External"/><Relationship Id="rId6" Type="http://schemas.openxmlformats.org/officeDocument/2006/relationships/hyperlink" Target="mailto:anna.lee@email.com" TargetMode="External"/><Relationship Id="rId11" Type="http://schemas.openxmlformats.org/officeDocument/2006/relationships/hyperlink" Target="mailto:nina.g@email.com" TargetMode="External"/><Relationship Id="rId5" Type="http://schemas.openxmlformats.org/officeDocument/2006/relationships/hyperlink" Target="mailto:raj.patel@email.com" TargetMode="External"/><Relationship Id="rId15" Type="http://schemas.openxmlformats.org/officeDocument/2006/relationships/hyperlink" Target="mailto:daniel.c@email.com" TargetMode="External"/><Relationship Id="rId10" Type="http://schemas.openxmlformats.org/officeDocument/2006/relationships/hyperlink" Target="mailto:tom.a@email.com" TargetMode="External"/><Relationship Id="rId19" Type="http://schemas.openxmlformats.org/officeDocument/2006/relationships/hyperlink" Target="mailto:ethan.a@email.com" TargetMode="External"/><Relationship Id="rId4" Type="http://schemas.openxmlformats.org/officeDocument/2006/relationships/hyperlink" Target="mailto:emily.d@email.com" TargetMode="External"/><Relationship Id="rId9" Type="http://schemas.openxmlformats.org/officeDocument/2006/relationships/hyperlink" Target="mailto:lisa.t@email.com" TargetMode="External"/><Relationship Id="rId14" Type="http://schemas.openxmlformats.org/officeDocument/2006/relationships/hyperlink" Target="mailto:priya.s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E8" sqref="E8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7.109375" style="2" bestFit="1" customWidth="1"/>
    <col min="4" max="4" width="8.33203125" style="2" bestFit="1" customWidth="1"/>
    <col min="5" max="5" width="28.21875" style="2" customWidth="1"/>
    <col min="6" max="16384" width="8.88671875" style="2"/>
  </cols>
  <sheetData>
    <row r="1" spans="1:16" x14ac:dyDescent="0.3">
      <c r="A1" s="1" t="s">
        <v>2</v>
      </c>
      <c r="B1" s="1" t="s">
        <v>3</v>
      </c>
      <c r="C1" s="1" t="s">
        <v>78</v>
      </c>
      <c r="D1" s="1" t="s">
        <v>79</v>
      </c>
      <c r="E1" s="1" t="s">
        <v>97</v>
      </c>
      <c r="H1" s="6" t="s">
        <v>2</v>
      </c>
      <c r="I1" s="6" t="s">
        <v>5</v>
      </c>
      <c r="J1" s="6" t="s">
        <v>3</v>
      </c>
      <c r="K1" s="6" t="s">
        <v>4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</row>
    <row r="2" spans="1:16" x14ac:dyDescent="0.3">
      <c r="A2" s="3" t="s">
        <v>11</v>
      </c>
      <c r="B2" s="3" t="s">
        <v>12</v>
      </c>
      <c r="C2" s="3" t="s">
        <v>0</v>
      </c>
      <c r="D2" s="3" t="s">
        <v>13</v>
      </c>
      <c r="E2" s="3" t="str">
        <f>VLOOKUP(A2,[1]Sheet5!$A$1:$I$21,1,FALSE)</f>
        <v>E001</v>
      </c>
      <c r="H2" s="7" t="s">
        <v>42</v>
      </c>
      <c r="I2" s="7" t="s">
        <v>14</v>
      </c>
      <c r="J2" s="7" t="s">
        <v>43</v>
      </c>
      <c r="K2" s="7" t="s">
        <v>18</v>
      </c>
      <c r="L2" s="7">
        <v>46000</v>
      </c>
      <c r="M2" s="7">
        <v>2000</v>
      </c>
      <c r="N2" s="7">
        <v>2</v>
      </c>
      <c r="O2" s="8">
        <v>44668</v>
      </c>
      <c r="P2" s="9" t="s">
        <v>44</v>
      </c>
    </row>
    <row r="3" spans="1:16" x14ac:dyDescent="0.3">
      <c r="A3" s="3" t="s">
        <v>16</v>
      </c>
      <c r="B3" s="3" t="s">
        <v>17</v>
      </c>
      <c r="C3" s="3" t="s">
        <v>1</v>
      </c>
      <c r="D3" s="3" t="s">
        <v>18</v>
      </c>
      <c r="E3" s="3" t="str">
        <f>VLOOKUP(A3,[1]Sheet5!$A$1:$I$21,1,FALSE)</f>
        <v>E002</v>
      </c>
      <c r="H3" s="7" t="s">
        <v>60</v>
      </c>
      <c r="I3" s="7" t="s">
        <v>19</v>
      </c>
      <c r="J3" s="7" t="s">
        <v>61</v>
      </c>
      <c r="K3" s="7" t="s">
        <v>18</v>
      </c>
      <c r="L3" s="7">
        <v>45000</v>
      </c>
      <c r="M3" s="7">
        <v>2200</v>
      </c>
      <c r="N3" s="7">
        <v>2</v>
      </c>
      <c r="O3" s="8">
        <v>44448</v>
      </c>
      <c r="P3" s="9" t="s">
        <v>62</v>
      </c>
    </row>
    <row r="4" spans="1:16" x14ac:dyDescent="0.3">
      <c r="A4" s="3" t="s">
        <v>21</v>
      </c>
      <c r="B4" s="3" t="s">
        <v>22</v>
      </c>
      <c r="C4" s="3" t="s">
        <v>0</v>
      </c>
      <c r="D4" s="3" t="s">
        <v>23</v>
      </c>
      <c r="E4" s="3" t="str">
        <f>VLOOKUP(A4,[1]Sheet5!$A$1:$I$21,1,FALSE)</f>
        <v>E003</v>
      </c>
      <c r="H4" s="7" t="s">
        <v>33</v>
      </c>
      <c r="I4" s="7" t="s">
        <v>24</v>
      </c>
      <c r="J4" s="7" t="s">
        <v>34</v>
      </c>
      <c r="K4" s="7" t="s">
        <v>18</v>
      </c>
      <c r="L4" s="7">
        <v>47000</v>
      </c>
      <c r="M4" s="7">
        <v>2500</v>
      </c>
      <c r="N4" s="7">
        <v>3</v>
      </c>
      <c r="O4" s="8">
        <v>44359</v>
      </c>
      <c r="P4" s="9" t="s">
        <v>35</v>
      </c>
    </row>
    <row r="5" spans="1:16" x14ac:dyDescent="0.3">
      <c r="A5" s="3" t="s">
        <v>26</v>
      </c>
      <c r="B5" s="3" t="s">
        <v>27</v>
      </c>
      <c r="C5" s="3" t="s">
        <v>1</v>
      </c>
      <c r="D5" s="3" t="s">
        <v>13</v>
      </c>
      <c r="E5" s="3" t="str">
        <f>VLOOKUP(A5,[1]Sheet5!$A$1:$I$21,1,FALSE)</f>
        <v>E004</v>
      </c>
      <c r="H5" s="7" t="s">
        <v>69</v>
      </c>
      <c r="I5" s="7" t="s">
        <v>24</v>
      </c>
      <c r="J5" s="7" t="s">
        <v>70</v>
      </c>
      <c r="K5" s="7" t="s">
        <v>18</v>
      </c>
      <c r="L5" s="7">
        <v>47000</v>
      </c>
      <c r="M5" s="7">
        <v>2600</v>
      </c>
      <c r="N5" s="7">
        <v>3</v>
      </c>
      <c r="O5" s="8">
        <v>44620</v>
      </c>
      <c r="P5" s="9" t="s">
        <v>71</v>
      </c>
    </row>
    <row r="6" spans="1:16" x14ac:dyDescent="0.3">
      <c r="A6" s="3" t="s">
        <v>30</v>
      </c>
      <c r="B6" s="3" t="s">
        <v>31</v>
      </c>
      <c r="C6" s="3" t="s">
        <v>0</v>
      </c>
      <c r="D6" s="3" t="s">
        <v>23</v>
      </c>
      <c r="E6" s="3" t="str">
        <f>VLOOKUP(A6,[1]Sheet5!$A$1:$I$21,1,FALSE)</f>
        <v>E005</v>
      </c>
      <c r="H6" s="7" t="s">
        <v>51</v>
      </c>
      <c r="I6" s="7" t="s">
        <v>28</v>
      </c>
      <c r="J6" s="7" t="s">
        <v>52</v>
      </c>
      <c r="K6" s="7" t="s">
        <v>18</v>
      </c>
      <c r="L6" s="7">
        <v>49000</v>
      </c>
      <c r="M6" s="7">
        <v>2800</v>
      </c>
      <c r="N6" s="7">
        <v>3</v>
      </c>
      <c r="O6" s="8">
        <v>44115</v>
      </c>
      <c r="P6" s="9" t="s">
        <v>53</v>
      </c>
    </row>
    <row r="7" spans="1:16" x14ac:dyDescent="0.3">
      <c r="A7" s="3" t="s">
        <v>33</v>
      </c>
      <c r="B7" s="3" t="s">
        <v>34</v>
      </c>
      <c r="C7" s="3" t="s">
        <v>1</v>
      </c>
      <c r="D7" s="3" t="s">
        <v>18</v>
      </c>
      <c r="E7" s="3" t="str">
        <f>VLOOKUP(A7,[1]Sheet5!$A$1:$I$21,1,FALSE)</f>
        <v>E006</v>
      </c>
      <c r="H7" s="7" t="s">
        <v>16</v>
      </c>
      <c r="I7" s="7" t="s">
        <v>19</v>
      </c>
      <c r="J7" s="7" t="s">
        <v>17</v>
      </c>
      <c r="K7" s="7" t="s">
        <v>18</v>
      </c>
      <c r="L7" s="7">
        <v>48000</v>
      </c>
      <c r="M7" s="7">
        <v>3000</v>
      </c>
      <c r="N7" s="7">
        <v>3</v>
      </c>
      <c r="O7" s="8">
        <v>44022</v>
      </c>
      <c r="P7" s="9" t="s">
        <v>20</v>
      </c>
    </row>
    <row r="8" spans="1:16" x14ac:dyDescent="0.3">
      <c r="A8" s="3" t="s">
        <v>36</v>
      </c>
      <c r="B8" s="3" t="s">
        <v>37</v>
      </c>
      <c r="C8" s="3" t="s">
        <v>0</v>
      </c>
      <c r="D8" s="3" t="s">
        <v>13</v>
      </c>
      <c r="E8" s="3" t="str">
        <f>VLOOKUP(A8,[1]Sheet5!$A$1:$I$21,1,FALSE)</f>
        <v>E007</v>
      </c>
      <c r="H8" s="7" t="s">
        <v>72</v>
      </c>
      <c r="I8" s="7" t="s">
        <v>19</v>
      </c>
      <c r="J8" s="7" t="s">
        <v>73</v>
      </c>
      <c r="K8" s="7" t="s">
        <v>13</v>
      </c>
      <c r="L8" s="7">
        <v>52000</v>
      </c>
      <c r="M8" s="7">
        <v>3900</v>
      </c>
      <c r="N8" s="7">
        <v>4</v>
      </c>
      <c r="O8" s="8">
        <v>44329</v>
      </c>
      <c r="P8" s="9" t="s">
        <v>74</v>
      </c>
    </row>
    <row r="9" spans="1:16" x14ac:dyDescent="0.3">
      <c r="A9" s="3" t="s">
        <v>39</v>
      </c>
      <c r="B9" s="3" t="s">
        <v>40</v>
      </c>
      <c r="C9" s="3" t="s">
        <v>0</v>
      </c>
      <c r="D9" s="3" t="s">
        <v>23</v>
      </c>
      <c r="E9" s="3" t="str">
        <f>VLOOKUP(A9,[1]Sheet5!$A$1:$I$21,1,FALSE)</f>
        <v>E008</v>
      </c>
      <c r="H9" s="7" t="s">
        <v>36</v>
      </c>
      <c r="I9" s="7" t="s">
        <v>19</v>
      </c>
      <c r="J9" s="7" t="s">
        <v>37</v>
      </c>
      <c r="K9" s="7" t="s">
        <v>13</v>
      </c>
      <c r="L9" s="7">
        <v>51000</v>
      </c>
      <c r="M9" s="7">
        <v>4000</v>
      </c>
      <c r="N9" s="7">
        <v>4</v>
      </c>
      <c r="O9" s="8">
        <v>43886</v>
      </c>
      <c r="P9" s="9" t="s">
        <v>38</v>
      </c>
    </row>
    <row r="10" spans="1:16" x14ac:dyDescent="0.3">
      <c r="A10" s="3" t="s">
        <v>42</v>
      </c>
      <c r="B10" s="3" t="s">
        <v>43</v>
      </c>
      <c r="C10" s="3" t="s">
        <v>1</v>
      </c>
      <c r="D10" s="3" t="s">
        <v>18</v>
      </c>
      <c r="E10" s="3" t="str">
        <f>VLOOKUP(A10,[1]Sheet5!$A$1:$I$21,1,FALSE)</f>
        <v>E009</v>
      </c>
      <c r="H10" s="7" t="s">
        <v>45</v>
      </c>
      <c r="I10" s="7" t="s">
        <v>24</v>
      </c>
      <c r="J10" s="7" t="s">
        <v>46</v>
      </c>
      <c r="K10" s="7" t="s">
        <v>13</v>
      </c>
      <c r="L10" s="7">
        <v>53000</v>
      </c>
      <c r="M10" s="7">
        <v>4200</v>
      </c>
      <c r="N10" s="7">
        <v>4</v>
      </c>
      <c r="O10" s="8">
        <v>44531</v>
      </c>
      <c r="P10" s="9" t="s">
        <v>47</v>
      </c>
    </row>
    <row r="11" spans="1:16" x14ac:dyDescent="0.3">
      <c r="A11" s="3" t="s">
        <v>45</v>
      </c>
      <c r="B11" s="3" t="s">
        <v>46</v>
      </c>
      <c r="C11" s="3" t="s">
        <v>0</v>
      </c>
      <c r="D11" s="3" t="s">
        <v>13</v>
      </c>
      <c r="E11" s="3" t="str">
        <f>VLOOKUP(A11,[1]Sheet5!$A$1:$I$21,1,FALSE)</f>
        <v>E010</v>
      </c>
      <c r="H11" s="7" t="s">
        <v>26</v>
      </c>
      <c r="I11" s="7" t="s">
        <v>28</v>
      </c>
      <c r="J11" s="7" t="s">
        <v>27</v>
      </c>
      <c r="K11" s="7" t="s">
        <v>13</v>
      </c>
      <c r="L11" s="7">
        <v>54000</v>
      </c>
      <c r="M11" s="7">
        <v>4500</v>
      </c>
      <c r="N11" s="7">
        <v>4</v>
      </c>
      <c r="O11" s="8">
        <v>44566</v>
      </c>
      <c r="P11" s="9" t="s">
        <v>29</v>
      </c>
    </row>
    <row r="12" spans="1:16" x14ac:dyDescent="0.3">
      <c r="A12" s="3" t="s">
        <v>48</v>
      </c>
      <c r="B12" s="3" t="s">
        <v>49</v>
      </c>
      <c r="C12" s="3" t="s">
        <v>1</v>
      </c>
      <c r="D12" s="3" t="s">
        <v>23</v>
      </c>
      <c r="E12" s="3" t="str">
        <f>VLOOKUP(A12,[1]Sheet5!$A$1:$I$21,1,FALSE)</f>
        <v>E011</v>
      </c>
      <c r="H12" s="7" t="s">
        <v>54</v>
      </c>
      <c r="I12" s="7" t="s">
        <v>14</v>
      </c>
      <c r="J12" s="7" t="s">
        <v>55</v>
      </c>
      <c r="K12" s="7" t="s">
        <v>13</v>
      </c>
      <c r="L12" s="7">
        <v>55000</v>
      </c>
      <c r="M12" s="7">
        <v>4700</v>
      </c>
      <c r="N12" s="7">
        <v>4</v>
      </c>
      <c r="O12" s="8">
        <v>43527</v>
      </c>
      <c r="P12" s="9" t="s">
        <v>56</v>
      </c>
    </row>
    <row r="13" spans="1:16" x14ac:dyDescent="0.3">
      <c r="A13" s="3" t="s">
        <v>51</v>
      </c>
      <c r="B13" s="3" t="s">
        <v>52</v>
      </c>
      <c r="C13" s="3" t="s">
        <v>0</v>
      </c>
      <c r="D13" s="3" t="s">
        <v>18</v>
      </c>
      <c r="E13" s="3" t="str">
        <f>VLOOKUP(A13,[1]Sheet5!$A$1:$I$21,1,FALSE)</f>
        <v>E012</v>
      </c>
      <c r="H13" s="7" t="s">
        <v>63</v>
      </c>
      <c r="I13" s="7" t="s">
        <v>28</v>
      </c>
      <c r="J13" s="7" t="s">
        <v>64</v>
      </c>
      <c r="K13" s="7" t="s">
        <v>13</v>
      </c>
      <c r="L13" s="7">
        <v>56000</v>
      </c>
      <c r="M13" s="7">
        <v>4800</v>
      </c>
      <c r="N13" s="7">
        <v>4</v>
      </c>
      <c r="O13" s="8">
        <v>43849</v>
      </c>
      <c r="P13" s="9" t="s">
        <v>65</v>
      </c>
    </row>
    <row r="14" spans="1:16" x14ac:dyDescent="0.3">
      <c r="A14" s="3" t="s">
        <v>54</v>
      </c>
      <c r="B14" s="3" t="s">
        <v>55</v>
      </c>
      <c r="C14" s="3" t="s">
        <v>0</v>
      </c>
      <c r="D14" s="3" t="s">
        <v>13</v>
      </c>
      <c r="E14" s="3" t="str">
        <f>VLOOKUP(A14,[1]Sheet5!$A$1:$I$21,1,FALSE)</f>
        <v>E013</v>
      </c>
      <c r="H14" s="7" t="s">
        <v>11</v>
      </c>
      <c r="I14" s="7" t="s">
        <v>14</v>
      </c>
      <c r="J14" s="7" t="s">
        <v>12</v>
      </c>
      <c r="K14" s="7" t="s">
        <v>13</v>
      </c>
      <c r="L14" s="7">
        <v>52000</v>
      </c>
      <c r="M14" s="7">
        <v>5000</v>
      </c>
      <c r="N14" s="7">
        <v>4</v>
      </c>
      <c r="O14" s="8">
        <v>44270</v>
      </c>
      <c r="P14" s="9" t="s">
        <v>15</v>
      </c>
    </row>
    <row r="15" spans="1:16" x14ac:dyDescent="0.3">
      <c r="A15" s="3" t="s">
        <v>57</v>
      </c>
      <c r="B15" s="3" t="s">
        <v>58</v>
      </c>
      <c r="C15" s="3" t="s">
        <v>1</v>
      </c>
      <c r="D15" s="3" t="s">
        <v>23</v>
      </c>
      <c r="E15" s="3" t="str">
        <f>VLOOKUP(A15,[1]Sheet5!$A$1:$I$21,1,FALSE)</f>
        <v>E014</v>
      </c>
      <c r="H15" s="7" t="s">
        <v>39</v>
      </c>
      <c r="I15" s="7" t="s">
        <v>28</v>
      </c>
      <c r="J15" s="7" t="s">
        <v>40</v>
      </c>
      <c r="K15" s="7" t="s">
        <v>23</v>
      </c>
      <c r="L15" s="7">
        <v>68000</v>
      </c>
      <c r="M15" s="7">
        <v>6000</v>
      </c>
      <c r="N15" s="7">
        <v>5</v>
      </c>
      <c r="O15" s="8">
        <v>43707</v>
      </c>
      <c r="P15" s="9" t="s">
        <v>41</v>
      </c>
    </row>
    <row r="16" spans="1:16" x14ac:dyDescent="0.3">
      <c r="A16" s="3" t="s">
        <v>60</v>
      </c>
      <c r="B16" s="3" t="s">
        <v>61</v>
      </c>
      <c r="C16" s="3" t="s">
        <v>0</v>
      </c>
      <c r="D16" s="3" t="s">
        <v>18</v>
      </c>
      <c r="E16" s="3" t="str">
        <f>VLOOKUP(A16,[1]Sheet5!$A$1:$I$21,1,FALSE)</f>
        <v>E015</v>
      </c>
      <c r="H16" s="7" t="s">
        <v>21</v>
      </c>
      <c r="I16" s="7" t="s">
        <v>24</v>
      </c>
      <c r="J16" s="7" t="s">
        <v>22</v>
      </c>
      <c r="K16" s="7" t="s">
        <v>23</v>
      </c>
      <c r="L16" s="7">
        <v>65000</v>
      </c>
      <c r="M16" s="7">
        <v>7000</v>
      </c>
      <c r="N16" s="7">
        <v>5</v>
      </c>
      <c r="O16" s="8">
        <v>43791</v>
      </c>
      <c r="P16" s="9" t="s">
        <v>25</v>
      </c>
    </row>
    <row r="17" spans="1:16" x14ac:dyDescent="0.3">
      <c r="A17" s="3" t="s">
        <v>63</v>
      </c>
      <c r="B17" s="3" t="s">
        <v>64</v>
      </c>
      <c r="C17" s="3" t="s">
        <v>1</v>
      </c>
      <c r="D17" s="3" t="s">
        <v>13</v>
      </c>
      <c r="E17" s="3" t="str">
        <f>VLOOKUP(A17,[1]Sheet5!$A$1:$I$21,1,FALSE)</f>
        <v>E016</v>
      </c>
      <c r="H17" s="7" t="s">
        <v>66</v>
      </c>
      <c r="I17" s="7" t="s">
        <v>14</v>
      </c>
      <c r="J17" s="7" t="s">
        <v>67</v>
      </c>
      <c r="K17" s="7" t="s">
        <v>23</v>
      </c>
      <c r="L17" s="7">
        <v>69000</v>
      </c>
      <c r="M17" s="7">
        <v>7100</v>
      </c>
      <c r="N17" s="7">
        <v>5</v>
      </c>
      <c r="O17" s="8">
        <v>43622</v>
      </c>
      <c r="P17" s="9" t="s">
        <v>68</v>
      </c>
    </row>
    <row r="18" spans="1:16" x14ac:dyDescent="0.3">
      <c r="A18" s="3" t="s">
        <v>66</v>
      </c>
      <c r="B18" s="3" t="s">
        <v>67</v>
      </c>
      <c r="C18" s="3" t="s">
        <v>0</v>
      </c>
      <c r="D18" s="3" t="s">
        <v>23</v>
      </c>
      <c r="E18" s="3" t="str">
        <f>VLOOKUP(A18,[1]Sheet5!$A$1:$I$21,1,FALSE)</f>
        <v>E017</v>
      </c>
      <c r="H18" s="7" t="s">
        <v>48</v>
      </c>
      <c r="I18" s="7" t="s">
        <v>19</v>
      </c>
      <c r="J18" s="7" t="s">
        <v>49</v>
      </c>
      <c r="K18" s="7" t="s">
        <v>23</v>
      </c>
      <c r="L18" s="7">
        <v>70000</v>
      </c>
      <c r="M18" s="7">
        <v>7500</v>
      </c>
      <c r="N18" s="7">
        <v>5</v>
      </c>
      <c r="O18" s="8">
        <v>43241</v>
      </c>
      <c r="P18" s="9" t="s">
        <v>50</v>
      </c>
    </row>
    <row r="19" spans="1:16" x14ac:dyDescent="0.3">
      <c r="A19" s="3" t="s">
        <v>69</v>
      </c>
      <c r="B19" s="3" t="s">
        <v>70</v>
      </c>
      <c r="C19" s="3" t="s">
        <v>1</v>
      </c>
      <c r="D19" s="3" t="s">
        <v>18</v>
      </c>
      <c r="E19" s="3" t="str">
        <f>VLOOKUP(A19,[1]Sheet5!$A$1:$I$21,1,FALSE)</f>
        <v>E018</v>
      </c>
      <c r="H19" s="7" t="s">
        <v>75</v>
      </c>
      <c r="I19" s="7" t="s">
        <v>28</v>
      </c>
      <c r="J19" s="7" t="s">
        <v>76</v>
      </c>
      <c r="K19" s="7" t="s">
        <v>23</v>
      </c>
      <c r="L19" s="7">
        <v>71000</v>
      </c>
      <c r="M19" s="7">
        <v>7800</v>
      </c>
      <c r="N19" s="7">
        <v>5</v>
      </c>
      <c r="O19" s="8">
        <v>43458</v>
      </c>
      <c r="P19" s="9" t="s">
        <v>77</v>
      </c>
    </row>
    <row r="20" spans="1:16" x14ac:dyDescent="0.3">
      <c r="A20" s="3" t="s">
        <v>72</v>
      </c>
      <c r="B20" s="3" t="s">
        <v>73</v>
      </c>
      <c r="C20" s="3" t="s">
        <v>0</v>
      </c>
      <c r="D20" s="3" t="s">
        <v>13</v>
      </c>
      <c r="E20" s="3" t="str">
        <f>VLOOKUP(A20,[1]Sheet5!$A$1:$I$21,1,FALSE)</f>
        <v>E019</v>
      </c>
      <c r="H20" s="7" t="s">
        <v>30</v>
      </c>
      <c r="I20" s="7" t="s">
        <v>14</v>
      </c>
      <c r="J20" s="7" t="s">
        <v>31</v>
      </c>
      <c r="K20" s="7" t="s">
        <v>23</v>
      </c>
      <c r="L20" s="7">
        <v>72000</v>
      </c>
      <c r="M20" s="7">
        <v>8000</v>
      </c>
      <c r="N20" s="7">
        <v>5</v>
      </c>
      <c r="O20" s="8">
        <v>43361</v>
      </c>
      <c r="P20" s="9" t="s">
        <v>32</v>
      </c>
    </row>
    <row r="21" spans="1:16" x14ac:dyDescent="0.3">
      <c r="A21" s="3" t="s">
        <v>75</v>
      </c>
      <c r="B21" s="3" t="s">
        <v>76</v>
      </c>
      <c r="C21" s="3" t="s">
        <v>1</v>
      </c>
      <c r="D21" s="3" t="s">
        <v>23</v>
      </c>
      <c r="E21" s="3" t="str">
        <f>VLOOKUP(A21,[1]Sheet5!$A$1:$I$21,1,FALSE)</f>
        <v>E020</v>
      </c>
      <c r="H21" s="7" t="s">
        <v>57</v>
      </c>
      <c r="I21" s="7" t="s">
        <v>24</v>
      </c>
      <c r="J21" s="7" t="s">
        <v>58</v>
      </c>
      <c r="K21" s="7" t="s">
        <v>23</v>
      </c>
      <c r="L21" s="7">
        <v>73000</v>
      </c>
      <c r="M21" s="7">
        <v>8200</v>
      </c>
      <c r="N21" s="7">
        <v>5</v>
      </c>
      <c r="O21" s="8">
        <v>42930</v>
      </c>
      <c r="P21" s="9" t="s">
        <v>59</v>
      </c>
    </row>
    <row r="22" spans="1:16" x14ac:dyDescent="0.3">
      <c r="A22" s="3" t="s">
        <v>95</v>
      </c>
      <c r="B22" s="3" t="s">
        <v>96</v>
      </c>
      <c r="C22" s="3" t="s">
        <v>0</v>
      </c>
      <c r="D22" s="3" t="s">
        <v>23</v>
      </c>
      <c r="E22" s="3" t="e">
        <f>VLOOKUP(A22,[1]Sheet5!$A$1:$I$21,1,FALSE)</f>
        <v>#N/A</v>
      </c>
    </row>
  </sheetData>
  <hyperlinks>
    <hyperlink ref="P19" r:id="rId1" display="mailto:chloe.y@email.com"/>
    <hyperlink ref="P8" r:id="rId2" display="mailto:ethan.a@email.com"/>
    <hyperlink ref="P5" r:id="rId3" display="mailto:olivia.h@email.com"/>
    <hyperlink ref="P17" r:id="rId4" display="mailto:james.w@email.com"/>
    <hyperlink ref="P13" r:id="rId5" display="mailto:sophia.l@email.com"/>
    <hyperlink ref="P3" r:id="rId6" display="mailto:daniel.c@email.com"/>
    <hyperlink ref="P21" r:id="rId7" display="mailto:priya.s@email.com"/>
    <hyperlink ref="P12" r:id="rId8" display="mailto:kevin.w@email.com"/>
    <hyperlink ref="P6" r:id="rId9" display="mailto:alex.m@email.com"/>
    <hyperlink ref="P18" r:id="rId10" display="mailto:nina.g@email.com"/>
    <hyperlink ref="P10" r:id="rId11" display="mailto:tom.a@email.com"/>
    <hyperlink ref="P2" r:id="rId12" display="mailto:lisa.t@email.com"/>
    <hyperlink ref="P15" r:id="rId13" display="mailto:david.w@email.com"/>
    <hyperlink ref="P9" r:id="rId14" display="mailto:chris.b@email.com"/>
    <hyperlink ref="P4" r:id="rId15" display="mailto:anna.lee@email.com"/>
    <hyperlink ref="P20" r:id="rId16" display="mailto:raj.patel@email.com"/>
    <hyperlink ref="P11" r:id="rId17" display="mailto:emily.d@email.com"/>
    <hyperlink ref="P16" r:id="rId18" display="mailto:mike.j@email.com"/>
    <hyperlink ref="P7" r:id="rId19" display="mailto:sara.khan@email.com"/>
    <hyperlink ref="P14" r:id="rId20" display="mailto:john.smith@e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workbookViewId="0">
      <selection activeCell="E8" sqref="E8:F8"/>
    </sheetView>
  </sheetViews>
  <sheetFormatPr defaultRowHeight="14.4" x14ac:dyDescent="0.3"/>
  <cols>
    <col min="1" max="1" width="11.109375" style="2" bestFit="1" customWidth="1"/>
    <col min="2" max="2" width="15.33203125" style="2" bestFit="1" customWidth="1"/>
    <col min="3" max="3" width="17.88671875" style="2" bestFit="1" customWidth="1"/>
    <col min="4" max="4" width="18.5546875" style="2" bestFit="1" customWidth="1"/>
    <col min="5" max="5" width="17.44140625" style="2" bestFit="1" customWidth="1"/>
    <col min="6" max="6" width="16.88671875" style="2" bestFit="1" customWidth="1"/>
    <col min="7" max="7" width="19.44140625" style="2" bestFit="1" customWidth="1"/>
    <col min="8" max="8" width="17.77734375" style="2" bestFit="1" customWidth="1"/>
    <col min="9" max="9" width="16.77734375" style="2" bestFit="1" customWidth="1"/>
    <col min="10" max="10" width="16.33203125" style="2" bestFit="1" customWidth="1"/>
    <col min="11" max="11" width="17.44140625" style="2" bestFit="1" customWidth="1"/>
    <col min="12" max="12" width="17.77734375" style="2" bestFit="1" customWidth="1"/>
    <col min="13" max="13" width="17.88671875" style="2" bestFit="1" customWidth="1"/>
    <col min="14" max="14" width="20.109375" style="2" bestFit="1" customWidth="1"/>
    <col min="15" max="15" width="17.88671875" style="2" bestFit="1" customWidth="1"/>
    <col min="16" max="16" width="16.33203125" style="2" bestFit="1" customWidth="1"/>
    <col min="17" max="17" width="18.33203125" style="2" bestFit="1" customWidth="1"/>
    <col min="18" max="18" width="16.33203125" style="2" bestFit="1" customWidth="1"/>
    <col min="19" max="19" width="17.44140625" style="2" bestFit="1" customWidth="1"/>
    <col min="20" max="20" width="18.33203125" style="2" bestFit="1" customWidth="1"/>
    <col min="21" max="21" width="16.77734375" style="2" bestFit="1" customWidth="1"/>
    <col min="22" max="22" width="10.6640625" style="2" bestFit="1" customWidth="1"/>
    <col min="23" max="16384" width="8.88671875" style="2"/>
  </cols>
  <sheetData>
    <row r="1" spans="1:22" x14ac:dyDescent="0.3">
      <c r="A1" s="1" t="s">
        <v>2</v>
      </c>
      <c r="B1" s="3" t="s">
        <v>11</v>
      </c>
      <c r="C1" s="3" t="s">
        <v>16</v>
      </c>
      <c r="D1" s="3" t="s">
        <v>21</v>
      </c>
      <c r="E1" s="3" t="s">
        <v>26</v>
      </c>
      <c r="F1" s="3" t="s">
        <v>30</v>
      </c>
      <c r="G1" s="3" t="s">
        <v>33</v>
      </c>
      <c r="H1" s="3" t="s">
        <v>36</v>
      </c>
      <c r="I1" s="3" t="s">
        <v>39</v>
      </c>
      <c r="J1" s="3" t="s">
        <v>42</v>
      </c>
      <c r="K1" s="3" t="s">
        <v>45</v>
      </c>
      <c r="L1" s="3" t="s">
        <v>48</v>
      </c>
      <c r="M1" s="3" t="s">
        <v>51</v>
      </c>
      <c r="N1" s="3" t="s">
        <v>54</v>
      </c>
      <c r="O1" s="3" t="s">
        <v>57</v>
      </c>
      <c r="P1" s="3" t="s">
        <v>60</v>
      </c>
      <c r="Q1" s="3" t="s">
        <v>63</v>
      </c>
      <c r="R1" s="3" t="s">
        <v>66</v>
      </c>
      <c r="S1" s="3" t="s">
        <v>69</v>
      </c>
      <c r="T1" s="3" t="s">
        <v>72</v>
      </c>
      <c r="U1" s="3" t="s">
        <v>75</v>
      </c>
      <c r="V1" s="3" t="s">
        <v>95</v>
      </c>
    </row>
    <row r="2" spans="1:22" x14ac:dyDescent="0.3">
      <c r="A2" s="1" t="s">
        <v>3</v>
      </c>
      <c r="B2" s="3" t="s">
        <v>12</v>
      </c>
      <c r="C2" s="3" t="s">
        <v>17</v>
      </c>
      <c r="D2" s="3" t="s">
        <v>22</v>
      </c>
      <c r="E2" s="3" t="s">
        <v>27</v>
      </c>
      <c r="F2" s="3" t="s">
        <v>31</v>
      </c>
      <c r="G2" s="3" t="s">
        <v>34</v>
      </c>
      <c r="H2" s="3" t="s">
        <v>37</v>
      </c>
      <c r="I2" s="3" t="s">
        <v>40</v>
      </c>
      <c r="J2" s="3" t="s">
        <v>43</v>
      </c>
      <c r="K2" s="3" t="s">
        <v>46</v>
      </c>
      <c r="L2" s="3" t="s">
        <v>49</v>
      </c>
      <c r="M2" s="3" t="s">
        <v>52</v>
      </c>
      <c r="N2" s="3" t="s">
        <v>55</v>
      </c>
      <c r="O2" s="3" t="s">
        <v>58</v>
      </c>
      <c r="P2" s="3" t="s">
        <v>61</v>
      </c>
      <c r="Q2" s="3" t="s">
        <v>64</v>
      </c>
      <c r="R2" s="3" t="s">
        <v>67</v>
      </c>
      <c r="S2" s="3" t="s">
        <v>70</v>
      </c>
      <c r="T2" s="3" t="s">
        <v>73</v>
      </c>
      <c r="U2" s="3" t="s">
        <v>76</v>
      </c>
      <c r="V2" s="3" t="s">
        <v>96</v>
      </c>
    </row>
    <row r="3" spans="1:22" x14ac:dyDescent="0.3">
      <c r="A3" s="1" t="s">
        <v>78</v>
      </c>
      <c r="B3" s="3" t="s">
        <v>0</v>
      </c>
      <c r="C3" s="3" t="s">
        <v>1</v>
      </c>
      <c r="D3" s="3" t="s">
        <v>0</v>
      </c>
      <c r="E3" s="3" t="s">
        <v>1</v>
      </c>
      <c r="F3" s="3" t="s">
        <v>0</v>
      </c>
      <c r="G3" s="3" t="s">
        <v>1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1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1</v>
      </c>
      <c r="R3" s="3" t="s">
        <v>0</v>
      </c>
      <c r="S3" s="3" t="s">
        <v>1</v>
      </c>
      <c r="T3" s="3" t="s">
        <v>0</v>
      </c>
      <c r="U3" s="3" t="s">
        <v>1</v>
      </c>
      <c r="V3" s="3" t="s">
        <v>0</v>
      </c>
    </row>
    <row r="4" spans="1:22" x14ac:dyDescent="0.3">
      <c r="A4" s="1" t="s">
        <v>79</v>
      </c>
      <c r="B4" s="3" t="s">
        <v>13</v>
      </c>
      <c r="C4" s="3" t="s">
        <v>18</v>
      </c>
      <c r="D4" s="3" t="s">
        <v>23</v>
      </c>
      <c r="E4" s="3" t="s">
        <v>13</v>
      </c>
      <c r="F4" s="3" t="s">
        <v>23</v>
      </c>
      <c r="G4" s="3" t="s">
        <v>18</v>
      </c>
      <c r="H4" s="3" t="s">
        <v>13</v>
      </c>
      <c r="I4" s="3" t="s">
        <v>23</v>
      </c>
      <c r="J4" s="3" t="s">
        <v>18</v>
      </c>
      <c r="K4" s="3" t="s">
        <v>13</v>
      </c>
      <c r="L4" s="3" t="s">
        <v>23</v>
      </c>
      <c r="M4" s="3" t="s">
        <v>18</v>
      </c>
      <c r="N4" s="3" t="s">
        <v>13</v>
      </c>
      <c r="O4" s="3" t="s">
        <v>23</v>
      </c>
      <c r="P4" s="3" t="s">
        <v>18</v>
      </c>
      <c r="Q4" s="3" t="s">
        <v>13</v>
      </c>
      <c r="R4" s="3" t="s">
        <v>23</v>
      </c>
      <c r="S4" s="3" t="s">
        <v>18</v>
      </c>
      <c r="T4" s="3" t="s">
        <v>13</v>
      </c>
      <c r="U4" s="3" t="s">
        <v>23</v>
      </c>
      <c r="V4" s="3" t="s">
        <v>23</v>
      </c>
    </row>
    <row r="5" spans="1:22" x14ac:dyDescent="0.3">
      <c r="A5" s="1" t="s">
        <v>98</v>
      </c>
      <c r="B5" s="2" t="str">
        <f>HLOOKUP(B1,$B$12:$U$20,9,FALSE)</f>
        <v>john.smith@email.com</v>
      </c>
      <c r="C5" s="2" t="str">
        <f t="shared" ref="C5:V5" si="0">HLOOKUP(C1,$B$12:$U$20,9,FALSE)</f>
        <v>sara.khan@email.com</v>
      </c>
      <c r="D5" s="2" t="str">
        <f t="shared" si="0"/>
        <v>mike.j@email.com</v>
      </c>
      <c r="E5" s="2" t="str">
        <f t="shared" si="0"/>
        <v>emily.d@email.com</v>
      </c>
      <c r="F5" s="2" t="str">
        <f t="shared" si="0"/>
        <v>raj.patel@email.com</v>
      </c>
      <c r="G5" s="2" t="str">
        <f t="shared" si="0"/>
        <v>anna.lee@email.com</v>
      </c>
      <c r="H5" s="2" t="str">
        <f t="shared" si="0"/>
        <v>chris.b@email.com</v>
      </c>
      <c r="I5" s="2" t="str">
        <f t="shared" si="0"/>
        <v>david.w@email.com</v>
      </c>
      <c r="J5" s="2" t="str">
        <f t="shared" si="0"/>
        <v>lisa.t@email.com</v>
      </c>
      <c r="K5" s="2" t="str">
        <f t="shared" si="0"/>
        <v>tom.a@email.com</v>
      </c>
      <c r="L5" s="2" t="str">
        <f t="shared" si="0"/>
        <v>nina.g@email.com</v>
      </c>
      <c r="M5" s="2" t="str">
        <f t="shared" si="0"/>
        <v>alex.m@email.com</v>
      </c>
      <c r="N5" s="2" t="str">
        <f t="shared" si="0"/>
        <v>kevin.w@email.com</v>
      </c>
      <c r="O5" s="2" t="str">
        <f t="shared" si="0"/>
        <v>priya.s@email.com</v>
      </c>
      <c r="P5" s="2" t="str">
        <f t="shared" si="0"/>
        <v>daniel.c@email.com</v>
      </c>
      <c r="Q5" s="2" t="str">
        <f t="shared" si="0"/>
        <v>sophia.l@email.com</v>
      </c>
      <c r="R5" s="2" t="str">
        <f t="shared" si="0"/>
        <v>james.w@email.com</v>
      </c>
      <c r="S5" s="2" t="str">
        <f t="shared" si="0"/>
        <v>olivia.h@email.com</v>
      </c>
      <c r="T5" s="2" t="str">
        <f t="shared" si="0"/>
        <v>ethan.a@email.com</v>
      </c>
      <c r="U5" s="2" t="str">
        <f t="shared" si="0"/>
        <v>chloe.y@email.com</v>
      </c>
      <c r="V5" s="2" t="e">
        <f t="shared" si="0"/>
        <v>#N/A</v>
      </c>
    </row>
    <row r="12" spans="1:22" x14ac:dyDescent="0.3">
      <c r="A12" s="6" t="s">
        <v>2</v>
      </c>
      <c r="B12" s="7" t="s">
        <v>42</v>
      </c>
      <c r="C12" s="7" t="s">
        <v>60</v>
      </c>
      <c r="D12" s="7" t="s">
        <v>33</v>
      </c>
      <c r="E12" s="7" t="s">
        <v>69</v>
      </c>
      <c r="F12" s="7" t="s">
        <v>51</v>
      </c>
      <c r="G12" s="7" t="s">
        <v>16</v>
      </c>
      <c r="H12" s="7" t="s">
        <v>72</v>
      </c>
      <c r="I12" s="7" t="s">
        <v>36</v>
      </c>
      <c r="J12" s="7" t="s">
        <v>45</v>
      </c>
      <c r="K12" s="7" t="s">
        <v>26</v>
      </c>
      <c r="L12" s="7" t="s">
        <v>54</v>
      </c>
      <c r="M12" s="7" t="s">
        <v>63</v>
      </c>
      <c r="N12" s="7" t="s">
        <v>11</v>
      </c>
      <c r="O12" s="7" t="s">
        <v>39</v>
      </c>
      <c r="P12" s="7" t="s">
        <v>21</v>
      </c>
      <c r="Q12" s="7" t="s">
        <v>66</v>
      </c>
      <c r="R12" s="7" t="s">
        <v>48</v>
      </c>
      <c r="S12" s="7" t="s">
        <v>75</v>
      </c>
      <c r="T12" s="7" t="s">
        <v>30</v>
      </c>
      <c r="U12" s="7" t="s">
        <v>57</v>
      </c>
    </row>
    <row r="13" spans="1:22" x14ac:dyDescent="0.3">
      <c r="A13" s="6" t="s">
        <v>3</v>
      </c>
      <c r="B13" s="7" t="s">
        <v>43</v>
      </c>
      <c r="C13" s="7" t="s">
        <v>61</v>
      </c>
      <c r="D13" s="7" t="s">
        <v>34</v>
      </c>
      <c r="E13" s="7" t="s">
        <v>70</v>
      </c>
      <c r="F13" s="7" t="s">
        <v>52</v>
      </c>
      <c r="G13" s="7" t="s">
        <v>17</v>
      </c>
      <c r="H13" s="7" t="s">
        <v>73</v>
      </c>
      <c r="I13" s="7" t="s">
        <v>37</v>
      </c>
      <c r="J13" s="7" t="s">
        <v>46</v>
      </c>
      <c r="K13" s="7" t="s">
        <v>27</v>
      </c>
      <c r="L13" s="7" t="s">
        <v>55</v>
      </c>
      <c r="M13" s="7" t="s">
        <v>64</v>
      </c>
      <c r="N13" s="7" t="s">
        <v>12</v>
      </c>
      <c r="O13" s="7" t="s">
        <v>40</v>
      </c>
      <c r="P13" s="7" t="s">
        <v>22</v>
      </c>
      <c r="Q13" s="7" t="s">
        <v>67</v>
      </c>
      <c r="R13" s="7" t="s">
        <v>49</v>
      </c>
      <c r="S13" s="7" t="s">
        <v>76</v>
      </c>
      <c r="T13" s="7" t="s">
        <v>31</v>
      </c>
      <c r="U13" s="7" t="s">
        <v>58</v>
      </c>
    </row>
    <row r="14" spans="1:22" x14ac:dyDescent="0.3">
      <c r="A14" s="6" t="s">
        <v>4</v>
      </c>
      <c r="B14" s="7" t="s">
        <v>18</v>
      </c>
      <c r="C14" s="7" t="s">
        <v>18</v>
      </c>
      <c r="D14" s="7" t="s">
        <v>18</v>
      </c>
      <c r="E14" s="7" t="s">
        <v>18</v>
      </c>
      <c r="F14" s="7" t="s">
        <v>18</v>
      </c>
      <c r="G14" s="7" t="s">
        <v>18</v>
      </c>
      <c r="H14" s="7" t="s">
        <v>13</v>
      </c>
      <c r="I14" s="7" t="s">
        <v>13</v>
      </c>
      <c r="J14" s="7" t="s">
        <v>13</v>
      </c>
      <c r="K14" s="7" t="s">
        <v>13</v>
      </c>
      <c r="L14" s="7" t="s">
        <v>13</v>
      </c>
      <c r="M14" s="7" t="s">
        <v>13</v>
      </c>
      <c r="N14" s="7" t="s">
        <v>13</v>
      </c>
      <c r="O14" s="7" t="s">
        <v>23</v>
      </c>
      <c r="P14" s="7" t="s">
        <v>23</v>
      </c>
      <c r="Q14" s="7" t="s">
        <v>23</v>
      </c>
      <c r="R14" s="7" t="s">
        <v>23</v>
      </c>
      <c r="S14" s="7" t="s">
        <v>23</v>
      </c>
      <c r="T14" s="7" t="s">
        <v>23</v>
      </c>
      <c r="U14" s="7" t="s">
        <v>23</v>
      </c>
    </row>
    <row r="15" spans="1:22" x14ac:dyDescent="0.3">
      <c r="A15" s="6" t="s">
        <v>6</v>
      </c>
      <c r="B15" s="7">
        <v>46000</v>
      </c>
      <c r="C15" s="7">
        <v>45000</v>
      </c>
      <c r="D15" s="7">
        <v>47000</v>
      </c>
      <c r="E15" s="7">
        <v>47000</v>
      </c>
      <c r="F15" s="7">
        <v>49000</v>
      </c>
      <c r="G15" s="7">
        <v>48000</v>
      </c>
      <c r="H15" s="7">
        <v>52000</v>
      </c>
      <c r="I15" s="7">
        <v>51000</v>
      </c>
      <c r="J15" s="7">
        <v>53000</v>
      </c>
      <c r="K15" s="7">
        <v>54000</v>
      </c>
      <c r="L15" s="7">
        <v>55000</v>
      </c>
      <c r="M15" s="7">
        <v>56000</v>
      </c>
      <c r="N15" s="7">
        <v>52000</v>
      </c>
      <c r="O15" s="7">
        <v>68000</v>
      </c>
      <c r="P15" s="7">
        <v>65000</v>
      </c>
      <c r="Q15" s="7">
        <v>69000</v>
      </c>
      <c r="R15" s="7">
        <v>70000</v>
      </c>
      <c r="S15" s="7">
        <v>71000</v>
      </c>
      <c r="T15" s="7">
        <v>72000</v>
      </c>
      <c r="U15" s="7">
        <v>73000</v>
      </c>
    </row>
    <row r="16" spans="1:22" x14ac:dyDescent="0.3">
      <c r="A16" s="6" t="s">
        <v>7</v>
      </c>
      <c r="B16" s="7">
        <v>2000</v>
      </c>
      <c r="C16" s="7">
        <v>2200</v>
      </c>
      <c r="D16" s="7">
        <v>2500</v>
      </c>
      <c r="E16" s="7">
        <v>2600</v>
      </c>
      <c r="F16" s="7">
        <v>2800</v>
      </c>
      <c r="G16" s="7">
        <v>3000</v>
      </c>
      <c r="H16" s="7">
        <v>3900</v>
      </c>
      <c r="I16" s="7">
        <v>4000</v>
      </c>
      <c r="J16" s="7">
        <v>4200</v>
      </c>
      <c r="K16" s="7">
        <v>4500</v>
      </c>
      <c r="L16" s="7">
        <v>4700</v>
      </c>
      <c r="M16" s="7">
        <v>4800</v>
      </c>
      <c r="N16" s="7">
        <v>5000</v>
      </c>
      <c r="O16" s="7">
        <v>6000</v>
      </c>
      <c r="P16" s="7">
        <v>7000</v>
      </c>
      <c r="Q16" s="7">
        <v>7100</v>
      </c>
      <c r="R16" s="7">
        <v>7500</v>
      </c>
      <c r="S16" s="7">
        <v>7800</v>
      </c>
      <c r="T16" s="7">
        <v>8000</v>
      </c>
      <c r="U16" s="7">
        <v>8200</v>
      </c>
    </row>
    <row r="17" spans="1:21" x14ac:dyDescent="0.3">
      <c r="A17" s="6" t="s">
        <v>8</v>
      </c>
      <c r="B17" s="7">
        <v>2</v>
      </c>
      <c r="C17" s="7">
        <v>2</v>
      </c>
      <c r="D17" s="7">
        <v>3</v>
      </c>
      <c r="E17" s="7">
        <v>3</v>
      </c>
      <c r="F17" s="7">
        <v>3</v>
      </c>
      <c r="G17" s="7">
        <v>3</v>
      </c>
      <c r="H17" s="7">
        <v>4</v>
      </c>
      <c r="I17" s="7">
        <v>4</v>
      </c>
      <c r="J17" s="7">
        <v>4</v>
      </c>
      <c r="K17" s="7">
        <v>4</v>
      </c>
      <c r="L17" s="7">
        <v>4</v>
      </c>
      <c r="M17" s="7">
        <v>4</v>
      </c>
      <c r="N17" s="7">
        <v>4</v>
      </c>
      <c r="O17" s="7">
        <v>5</v>
      </c>
      <c r="P17" s="7">
        <v>5</v>
      </c>
      <c r="Q17" s="7">
        <v>5</v>
      </c>
      <c r="R17" s="7">
        <v>5</v>
      </c>
      <c r="S17" s="7">
        <v>5</v>
      </c>
      <c r="T17" s="7">
        <v>5</v>
      </c>
      <c r="U17" s="7">
        <v>5</v>
      </c>
    </row>
    <row r="18" spans="1:21" x14ac:dyDescent="0.3">
      <c r="A18" s="6" t="s">
        <v>9</v>
      </c>
      <c r="B18" s="8">
        <v>44668</v>
      </c>
      <c r="C18" s="8">
        <v>44448</v>
      </c>
      <c r="D18" s="8">
        <v>44359</v>
      </c>
      <c r="E18" s="8">
        <v>44620</v>
      </c>
      <c r="F18" s="8">
        <v>44115</v>
      </c>
      <c r="G18" s="8">
        <v>44022</v>
      </c>
      <c r="H18" s="8">
        <v>44329</v>
      </c>
      <c r="I18" s="8">
        <v>43886</v>
      </c>
      <c r="J18" s="8">
        <v>44531</v>
      </c>
      <c r="K18" s="8">
        <v>44566</v>
      </c>
      <c r="L18" s="8">
        <v>43527</v>
      </c>
      <c r="M18" s="8">
        <v>43849</v>
      </c>
      <c r="N18" s="8">
        <v>44270</v>
      </c>
      <c r="O18" s="8">
        <v>43707</v>
      </c>
      <c r="P18" s="8">
        <v>43791</v>
      </c>
      <c r="Q18" s="8">
        <v>43622</v>
      </c>
      <c r="R18" s="8">
        <v>43241</v>
      </c>
      <c r="S18" s="8">
        <v>43458</v>
      </c>
      <c r="T18" s="8">
        <v>43361</v>
      </c>
      <c r="U18" s="8">
        <v>42930</v>
      </c>
    </row>
    <row r="19" spans="1:21" x14ac:dyDescent="0.3">
      <c r="A19" s="6" t="s">
        <v>5</v>
      </c>
      <c r="B19" s="7" t="s">
        <v>14</v>
      </c>
      <c r="C19" s="7" t="s">
        <v>19</v>
      </c>
      <c r="D19" s="7" t="s">
        <v>24</v>
      </c>
      <c r="E19" s="7" t="s">
        <v>24</v>
      </c>
      <c r="F19" s="7" t="s">
        <v>28</v>
      </c>
      <c r="G19" s="7" t="s">
        <v>19</v>
      </c>
      <c r="H19" s="7" t="s">
        <v>19</v>
      </c>
      <c r="I19" s="7" t="s">
        <v>19</v>
      </c>
      <c r="J19" s="7" t="s">
        <v>24</v>
      </c>
      <c r="K19" s="7" t="s">
        <v>28</v>
      </c>
      <c r="L19" s="7" t="s">
        <v>14</v>
      </c>
      <c r="M19" s="7" t="s">
        <v>28</v>
      </c>
      <c r="N19" s="7" t="s">
        <v>14</v>
      </c>
      <c r="O19" s="7" t="s">
        <v>28</v>
      </c>
      <c r="P19" s="7" t="s">
        <v>24</v>
      </c>
      <c r="Q19" s="7" t="s">
        <v>14</v>
      </c>
      <c r="R19" s="7" t="s">
        <v>19</v>
      </c>
      <c r="S19" s="7" t="s">
        <v>28</v>
      </c>
      <c r="T19" s="7" t="s">
        <v>14</v>
      </c>
      <c r="U19" s="7" t="s">
        <v>24</v>
      </c>
    </row>
    <row r="20" spans="1:21" x14ac:dyDescent="0.3">
      <c r="A20" s="6" t="s">
        <v>10</v>
      </c>
      <c r="B20" s="9" t="s">
        <v>44</v>
      </c>
      <c r="C20" s="9" t="s">
        <v>62</v>
      </c>
      <c r="D20" s="9" t="s">
        <v>35</v>
      </c>
      <c r="E20" s="9" t="s">
        <v>71</v>
      </c>
      <c r="F20" s="9" t="s">
        <v>53</v>
      </c>
      <c r="G20" s="9" t="s">
        <v>20</v>
      </c>
      <c r="H20" s="9" t="s">
        <v>74</v>
      </c>
      <c r="I20" s="9" t="s">
        <v>38</v>
      </c>
      <c r="J20" s="9" t="s">
        <v>47</v>
      </c>
      <c r="K20" s="9" t="s">
        <v>29</v>
      </c>
      <c r="L20" s="9" t="s">
        <v>56</v>
      </c>
      <c r="M20" s="9" t="s">
        <v>65</v>
      </c>
      <c r="N20" s="9" t="s">
        <v>15</v>
      </c>
      <c r="O20" s="9" t="s">
        <v>41</v>
      </c>
      <c r="P20" s="9" t="s">
        <v>25</v>
      </c>
      <c r="Q20" s="9" t="s">
        <v>68</v>
      </c>
      <c r="R20" s="9" t="s">
        <v>50</v>
      </c>
      <c r="S20" s="9" t="s">
        <v>77</v>
      </c>
      <c r="T20" s="9" t="s">
        <v>32</v>
      </c>
      <c r="U20" s="9" t="s">
        <v>59</v>
      </c>
    </row>
    <row r="23" spans="1:21" ht="31.2" x14ac:dyDescent="0.6">
      <c r="F23" s="10" t="s">
        <v>99</v>
      </c>
    </row>
  </sheetData>
  <hyperlinks>
    <hyperlink ref="N20" r:id="rId1" display="mailto:john.smith@email.com"/>
    <hyperlink ref="G20" r:id="rId2" display="mailto:sara.khan@email.com"/>
    <hyperlink ref="P20" r:id="rId3" display="mailto:mike.j@email.com"/>
    <hyperlink ref="K20" r:id="rId4" display="mailto:emily.d@email.com"/>
    <hyperlink ref="T20" r:id="rId5" display="mailto:raj.patel@email.com"/>
    <hyperlink ref="D20" r:id="rId6" display="mailto:anna.lee@email.com"/>
    <hyperlink ref="I20" r:id="rId7" display="mailto:chris.b@email.com"/>
    <hyperlink ref="O20" r:id="rId8" display="mailto:david.w@email.com"/>
    <hyperlink ref="B20" r:id="rId9" display="mailto:lisa.t@email.com"/>
    <hyperlink ref="J20" r:id="rId10" display="mailto:tom.a@email.com"/>
    <hyperlink ref="R20" r:id="rId11" display="mailto:nina.g@email.com"/>
    <hyperlink ref="F20" r:id="rId12" display="mailto:alex.m@email.com"/>
    <hyperlink ref="L20" r:id="rId13" display="mailto:kevin.w@email.com"/>
    <hyperlink ref="U20" r:id="rId14" display="mailto:priya.s@email.com"/>
    <hyperlink ref="C20" r:id="rId15" display="mailto:daniel.c@email.com"/>
    <hyperlink ref="M20" r:id="rId16" display="mailto:sophia.l@email.com"/>
    <hyperlink ref="Q20" r:id="rId17" display="mailto:james.w@email.com"/>
    <hyperlink ref="E20" r:id="rId18" display="mailto:olivia.h@email.com"/>
    <hyperlink ref="H20" r:id="rId19" display="mailto:ethan.a@email.com"/>
    <hyperlink ref="S20" r:id="rId20" display="mailto:chloe.y@email.com"/>
  </hyperlinks>
  <pageMargins left="0.7" right="0.7" top="0.75" bottom="0.75" header="0.3" footer="0.3"/>
  <pageSetup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topLeftCell="L1" zoomScale="90" zoomScaleNormal="90" workbookViewId="0">
      <selection activeCell="X3" sqref="X3"/>
    </sheetView>
  </sheetViews>
  <sheetFormatPr defaultRowHeight="14.4" x14ac:dyDescent="0.3"/>
  <cols>
    <col min="1" max="1" width="6.5546875" style="2" bestFit="1" customWidth="1"/>
    <col min="2" max="2" width="10.109375" style="2" bestFit="1" customWidth="1"/>
    <col min="3" max="3" width="9.77734375" style="2" bestFit="1" customWidth="1"/>
    <col min="4" max="4" width="13.5546875" style="2" bestFit="1" customWidth="1"/>
    <col min="5" max="5" width="5.109375" style="2" bestFit="1" customWidth="1"/>
    <col min="6" max="6" width="8" style="2" bestFit="1" customWidth="1"/>
    <col min="7" max="7" width="6.109375" style="2" bestFit="1" customWidth="1"/>
    <col min="8" max="8" width="6.21875" style="2" bestFit="1" customWidth="1"/>
    <col min="9" max="9" width="6.33203125" style="2" bestFit="1" customWidth="1"/>
    <col min="10" max="10" width="10.33203125" style="2" bestFit="1" customWidth="1"/>
    <col min="11" max="11" width="20.6640625" style="2" bestFit="1" customWidth="1"/>
    <col min="12" max="13" width="13.21875" style="2" bestFit="1" customWidth="1"/>
    <col min="14" max="14" width="4.21875" style="2" bestFit="1" customWidth="1"/>
    <col min="15" max="15" width="4.77734375" style="2" bestFit="1" customWidth="1"/>
    <col min="16" max="16" width="6.109375" style="2" bestFit="1" customWidth="1"/>
    <col min="17" max="17" width="4.5546875" style="2" bestFit="1" customWidth="1"/>
    <col min="18" max="18" width="5" style="2" bestFit="1" customWidth="1"/>
    <col min="19" max="19" width="8.88671875" style="2"/>
    <col min="20" max="20" width="14.6640625" style="2" bestFit="1" customWidth="1"/>
    <col min="21" max="21" width="25.109375" style="2" bestFit="1" customWidth="1"/>
    <col min="22" max="24" width="25.109375" style="2" customWidth="1"/>
    <col min="25" max="25" width="7.109375" style="2" bestFit="1" customWidth="1"/>
    <col min="26" max="26" width="24.77734375" style="2" bestFit="1" customWidth="1"/>
    <col min="27" max="16384" width="8.88671875" style="2"/>
  </cols>
  <sheetData>
    <row r="1" spans="1:26" x14ac:dyDescent="0.3">
      <c r="K1" s="44" t="s">
        <v>94</v>
      </c>
      <c r="L1" s="44"/>
      <c r="U1" s="13" t="s">
        <v>145</v>
      </c>
      <c r="V1" s="13"/>
      <c r="W1" s="13"/>
      <c r="X1" s="13"/>
      <c r="Y1" s="45" t="s">
        <v>148</v>
      </c>
      <c r="Z1" s="45"/>
    </row>
    <row r="2" spans="1:26" x14ac:dyDescent="0.3">
      <c r="A2" s="1" t="s">
        <v>2</v>
      </c>
      <c r="B2" s="1" t="s">
        <v>100</v>
      </c>
      <c r="C2" s="1" t="s">
        <v>141</v>
      </c>
      <c r="D2" s="11" t="s">
        <v>142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142</v>
      </c>
      <c r="M2" s="1" t="s">
        <v>143</v>
      </c>
      <c r="N2" s="1" t="s">
        <v>93</v>
      </c>
      <c r="O2" s="1" t="s">
        <v>90</v>
      </c>
      <c r="P2" s="1" t="s">
        <v>91</v>
      </c>
      <c r="Q2" s="1" t="s">
        <v>92</v>
      </c>
      <c r="R2" s="1" t="s">
        <v>144</v>
      </c>
      <c r="S2" s="12"/>
      <c r="T2" s="12" t="s">
        <v>146</v>
      </c>
      <c r="U2" s="11" t="s">
        <v>100</v>
      </c>
      <c r="V2" s="43" t="s">
        <v>184</v>
      </c>
      <c r="W2" s="43" t="s">
        <v>185</v>
      </c>
      <c r="X2" s="43" t="s">
        <v>183</v>
      </c>
      <c r="Y2" s="11" t="s">
        <v>147</v>
      </c>
      <c r="Z2" s="11" t="s">
        <v>149</v>
      </c>
    </row>
    <row r="3" spans="1:26" x14ac:dyDescent="0.3">
      <c r="A3" s="3" t="s">
        <v>42</v>
      </c>
      <c r="B3" s="3" t="s">
        <v>101</v>
      </c>
      <c r="C3" s="3" t="s">
        <v>102</v>
      </c>
      <c r="D3" s="14" t="s">
        <v>43</v>
      </c>
      <c r="E3" s="3" t="s">
        <v>18</v>
      </c>
      <c r="F3" s="3" t="s">
        <v>14</v>
      </c>
      <c r="G3" s="3">
        <v>46000</v>
      </c>
      <c r="H3" s="3">
        <v>2000</v>
      </c>
      <c r="I3" s="3">
        <v>2</v>
      </c>
      <c r="J3" s="4">
        <v>44668</v>
      </c>
      <c r="K3" s="5" t="s">
        <v>44</v>
      </c>
      <c r="L3" s="2" t="str">
        <f t="shared" ref="L3:L22" si="0">CONCATENATE(B3," ",C3)</f>
        <v>Lisa Taylor</v>
      </c>
      <c r="M3" s="2" t="str">
        <f t="shared" ref="M3:M22" si="1">B3&amp;" "&amp;C3</f>
        <v>Lisa Taylor</v>
      </c>
      <c r="N3" s="2">
        <f t="shared" ref="N3:N22" si="2">LEN(B3)</f>
        <v>4</v>
      </c>
      <c r="O3" s="2" t="str">
        <f t="shared" ref="O3:O22" si="3">LEFT(A3,2)</f>
        <v>E0</v>
      </c>
      <c r="P3" s="2" t="str">
        <f>RIGHT(K3,4)</f>
        <v>.com</v>
      </c>
      <c r="Q3" s="2" t="str">
        <f t="shared" ref="Q3:Q22" si="4">MID(A3,2,3)</f>
        <v>009</v>
      </c>
      <c r="R3" s="2">
        <f>FIND(" ",L3,1)</f>
        <v>5</v>
      </c>
      <c r="T3" s="2">
        <f>FIND(" ",D3)-1</f>
        <v>4</v>
      </c>
      <c r="U3" s="2" t="str">
        <f>MID(D3,1,T3)</f>
        <v>Lisa</v>
      </c>
      <c r="V3" s="2">
        <f>FIND(" ",M3,1)</f>
        <v>5</v>
      </c>
      <c r="W3" s="2">
        <f>LEN(M3)-FIND(" ",M3,1)</f>
        <v>6</v>
      </c>
      <c r="X3" s="2" t="str">
        <f>MID(M3,FIND(" ",M3,1)+1,LEN(M3)-FIND(" ",M3,1))</f>
        <v>Taylor</v>
      </c>
    </row>
    <row r="4" spans="1:26" x14ac:dyDescent="0.3">
      <c r="A4" s="3" t="s">
        <v>60</v>
      </c>
      <c r="B4" s="3" t="s">
        <v>103</v>
      </c>
      <c r="C4" s="3" t="s">
        <v>104</v>
      </c>
      <c r="D4" s="14" t="s">
        <v>61</v>
      </c>
      <c r="E4" s="3" t="s">
        <v>18</v>
      </c>
      <c r="F4" s="3" t="s">
        <v>19</v>
      </c>
      <c r="G4" s="3">
        <v>45000</v>
      </c>
      <c r="H4" s="3">
        <v>2200</v>
      </c>
      <c r="I4" s="3">
        <v>2</v>
      </c>
      <c r="J4" s="4">
        <v>44448</v>
      </c>
      <c r="K4" s="5" t="s">
        <v>62</v>
      </c>
      <c r="L4" s="2" t="str">
        <f t="shared" si="0"/>
        <v>Daniel Clark</v>
      </c>
      <c r="M4" s="2" t="str">
        <f t="shared" si="1"/>
        <v>Daniel Clark</v>
      </c>
      <c r="N4" s="2">
        <f t="shared" si="2"/>
        <v>6</v>
      </c>
      <c r="O4" s="2" t="str">
        <f t="shared" si="3"/>
        <v>E0</v>
      </c>
      <c r="P4" s="2" t="str">
        <f t="shared" ref="P4:P22" si="5">RIGHT(K4,4)</f>
        <v>.com</v>
      </c>
      <c r="Q4" s="2" t="str">
        <f t="shared" si="4"/>
        <v>015</v>
      </c>
      <c r="R4" s="2">
        <f t="shared" ref="R4:R22" si="6">FIND(" ",L4,1)</f>
        <v>7</v>
      </c>
      <c r="T4" s="2">
        <f t="shared" ref="T4:T22" si="7">FIND(" ",D4)-1</f>
        <v>6</v>
      </c>
      <c r="U4" s="2" t="str">
        <f t="shared" ref="U4:U22" si="8">MID(D4,1,T4)</f>
        <v>Daniel</v>
      </c>
      <c r="X4" s="2" t="str">
        <f t="shared" ref="X4:X22" si="9">MID(M4,FIND(" ",M4,1)+1,LEN(M4)-FIND(" ",M4,1))</f>
        <v>Clark</v>
      </c>
    </row>
    <row r="5" spans="1:26" x14ac:dyDescent="0.3">
      <c r="A5" s="3" t="s">
        <v>33</v>
      </c>
      <c r="B5" s="3" t="s">
        <v>105</v>
      </c>
      <c r="C5" s="3" t="s">
        <v>106</v>
      </c>
      <c r="D5" s="14" t="s">
        <v>34</v>
      </c>
      <c r="E5" s="3" t="s">
        <v>18</v>
      </c>
      <c r="F5" s="3" t="s">
        <v>24</v>
      </c>
      <c r="G5" s="3">
        <v>47000</v>
      </c>
      <c r="H5" s="3">
        <v>2500</v>
      </c>
      <c r="I5" s="3">
        <v>3</v>
      </c>
      <c r="J5" s="4">
        <v>44359</v>
      </c>
      <c r="K5" s="5" t="s">
        <v>35</v>
      </c>
      <c r="L5" s="2" t="str">
        <f t="shared" si="0"/>
        <v>Anna Lee</v>
      </c>
      <c r="M5" s="2" t="str">
        <f t="shared" si="1"/>
        <v>Anna Lee</v>
      </c>
      <c r="N5" s="2">
        <f t="shared" si="2"/>
        <v>4</v>
      </c>
      <c r="O5" s="2" t="str">
        <f t="shared" si="3"/>
        <v>E0</v>
      </c>
      <c r="P5" s="2" t="str">
        <f t="shared" si="5"/>
        <v>.com</v>
      </c>
      <c r="Q5" s="2" t="str">
        <f t="shared" si="4"/>
        <v>006</v>
      </c>
      <c r="R5" s="2">
        <f t="shared" si="6"/>
        <v>5</v>
      </c>
      <c r="T5" s="2">
        <f t="shared" si="7"/>
        <v>4</v>
      </c>
      <c r="U5" s="2" t="str">
        <f t="shared" si="8"/>
        <v>Anna</v>
      </c>
      <c r="X5" s="2" t="str">
        <f t="shared" si="9"/>
        <v>Lee</v>
      </c>
    </row>
    <row r="6" spans="1:26" x14ac:dyDescent="0.3">
      <c r="A6" s="3" t="s">
        <v>69</v>
      </c>
      <c r="B6" s="3" t="s">
        <v>107</v>
      </c>
      <c r="C6" s="3" t="s">
        <v>108</v>
      </c>
      <c r="D6" s="14" t="s">
        <v>70</v>
      </c>
      <c r="E6" s="3" t="s">
        <v>18</v>
      </c>
      <c r="F6" s="3" t="s">
        <v>24</v>
      </c>
      <c r="G6" s="3">
        <v>47000</v>
      </c>
      <c r="H6" s="3">
        <v>2600</v>
      </c>
      <c r="I6" s="3">
        <v>3</v>
      </c>
      <c r="J6" s="4">
        <v>44620</v>
      </c>
      <c r="K6" s="5" t="s">
        <v>71</v>
      </c>
      <c r="L6" s="2" t="str">
        <f t="shared" si="0"/>
        <v>Olivia Hall</v>
      </c>
      <c r="M6" s="2" t="str">
        <f t="shared" si="1"/>
        <v>Olivia Hall</v>
      </c>
      <c r="N6" s="2">
        <f t="shared" si="2"/>
        <v>6</v>
      </c>
      <c r="O6" s="2" t="str">
        <f t="shared" si="3"/>
        <v>E0</v>
      </c>
      <c r="P6" s="2" t="str">
        <f t="shared" si="5"/>
        <v>.com</v>
      </c>
      <c r="Q6" s="2" t="str">
        <f t="shared" si="4"/>
        <v>018</v>
      </c>
      <c r="R6" s="2">
        <f t="shared" si="6"/>
        <v>7</v>
      </c>
      <c r="T6" s="2">
        <f t="shared" si="7"/>
        <v>6</v>
      </c>
      <c r="U6" s="2" t="str">
        <f t="shared" si="8"/>
        <v>Olivia</v>
      </c>
      <c r="X6" s="2" t="str">
        <f t="shared" si="9"/>
        <v>Hall</v>
      </c>
    </row>
    <row r="7" spans="1:26" x14ac:dyDescent="0.3">
      <c r="A7" s="3" t="s">
        <v>51</v>
      </c>
      <c r="B7" s="3" t="s">
        <v>109</v>
      </c>
      <c r="C7" s="3" t="s">
        <v>110</v>
      </c>
      <c r="D7" s="14" t="s">
        <v>52</v>
      </c>
      <c r="E7" s="3" t="s">
        <v>18</v>
      </c>
      <c r="F7" s="3" t="s">
        <v>28</v>
      </c>
      <c r="G7" s="3">
        <v>49000</v>
      </c>
      <c r="H7" s="3">
        <v>2800</v>
      </c>
      <c r="I7" s="3">
        <v>3</v>
      </c>
      <c r="J7" s="4">
        <v>44115</v>
      </c>
      <c r="K7" s="5" t="s">
        <v>53</v>
      </c>
      <c r="L7" s="2" t="str">
        <f t="shared" si="0"/>
        <v>Alex Martinez</v>
      </c>
      <c r="M7" s="2" t="str">
        <f t="shared" si="1"/>
        <v>Alex Martinez</v>
      </c>
      <c r="N7" s="2">
        <f t="shared" si="2"/>
        <v>4</v>
      </c>
      <c r="O7" s="2" t="str">
        <f t="shared" si="3"/>
        <v>E0</v>
      </c>
      <c r="P7" s="2" t="str">
        <f t="shared" si="5"/>
        <v>.com</v>
      </c>
      <c r="Q7" s="2" t="str">
        <f t="shared" si="4"/>
        <v>012</v>
      </c>
      <c r="R7" s="2">
        <f t="shared" si="6"/>
        <v>5</v>
      </c>
      <c r="T7" s="2">
        <f t="shared" si="7"/>
        <v>4</v>
      </c>
      <c r="U7" s="2" t="str">
        <f t="shared" si="8"/>
        <v>Alex</v>
      </c>
      <c r="X7" s="2" t="str">
        <f t="shared" si="9"/>
        <v>Martinez</v>
      </c>
    </row>
    <row r="8" spans="1:26" x14ac:dyDescent="0.3">
      <c r="A8" s="3" t="s">
        <v>16</v>
      </c>
      <c r="B8" s="3" t="s">
        <v>111</v>
      </c>
      <c r="C8" s="3" t="s">
        <v>112</v>
      </c>
      <c r="D8" s="14" t="s">
        <v>17</v>
      </c>
      <c r="E8" s="3" t="s">
        <v>18</v>
      </c>
      <c r="F8" s="3" t="s">
        <v>19</v>
      </c>
      <c r="G8" s="3">
        <v>48000</v>
      </c>
      <c r="H8" s="3">
        <v>3000</v>
      </c>
      <c r="I8" s="3">
        <v>3</v>
      </c>
      <c r="J8" s="4">
        <v>44022</v>
      </c>
      <c r="K8" s="5" t="s">
        <v>20</v>
      </c>
      <c r="L8" s="2" t="str">
        <f t="shared" si="0"/>
        <v>Sara Khan</v>
      </c>
      <c r="M8" s="2" t="str">
        <f t="shared" si="1"/>
        <v>Sara Khan</v>
      </c>
      <c r="N8" s="2">
        <f t="shared" si="2"/>
        <v>4</v>
      </c>
      <c r="O8" s="2" t="str">
        <f t="shared" si="3"/>
        <v>E0</v>
      </c>
      <c r="P8" s="2" t="str">
        <f t="shared" si="5"/>
        <v>.com</v>
      </c>
      <c r="Q8" s="2" t="str">
        <f t="shared" si="4"/>
        <v>002</v>
      </c>
      <c r="R8" s="2">
        <f t="shared" si="6"/>
        <v>5</v>
      </c>
      <c r="T8" s="2">
        <f t="shared" si="7"/>
        <v>4</v>
      </c>
      <c r="U8" s="2" t="str">
        <f t="shared" si="8"/>
        <v>Sara</v>
      </c>
      <c r="X8" s="2" t="str">
        <f t="shared" si="9"/>
        <v>Khan</v>
      </c>
    </row>
    <row r="9" spans="1:26" x14ac:dyDescent="0.3">
      <c r="A9" s="3" t="s">
        <v>72</v>
      </c>
      <c r="B9" s="3" t="s">
        <v>113</v>
      </c>
      <c r="C9" s="3" t="s">
        <v>114</v>
      </c>
      <c r="D9" s="14" t="s">
        <v>73</v>
      </c>
      <c r="E9" s="3" t="s">
        <v>13</v>
      </c>
      <c r="F9" s="3" t="s">
        <v>19</v>
      </c>
      <c r="G9" s="3">
        <v>52000</v>
      </c>
      <c r="H9" s="3">
        <v>3900</v>
      </c>
      <c r="I9" s="3">
        <v>4</v>
      </c>
      <c r="J9" s="4">
        <v>44329</v>
      </c>
      <c r="K9" s="5" t="s">
        <v>74</v>
      </c>
      <c r="L9" s="2" t="str">
        <f t="shared" si="0"/>
        <v>Ethan Allen</v>
      </c>
      <c r="M9" s="2" t="str">
        <f t="shared" si="1"/>
        <v>Ethan Allen</v>
      </c>
      <c r="N9" s="2">
        <f t="shared" si="2"/>
        <v>5</v>
      </c>
      <c r="O9" s="2" t="str">
        <f t="shared" si="3"/>
        <v>E0</v>
      </c>
      <c r="P9" s="2" t="str">
        <f t="shared" si="5"/>
        <v>.com</v>
      </c>
      <c r="Q9" s="2" t="str">
        <f t="shared" si="4"/>
        <v>019</v>
      </c>
      <c r="R9" s="2">
        <f t="shared" si="6"/>
        <v>6</v>
      </c>
      <c r="T9" s="2">
        <f t="shared" si="7"/>
        <v>5</v>
      </c>
      <c r="U9" s="2" t="str">
        <f t="shared" si="8"/>
        <v>Ethan</v>
      </c>
      <c r="X9" s="2" t="str">
        <f t="shared" si="9"/>
        <v>Allen</v>
      </c>
    </row>
    <row r="10" spans="1:26" x14ac:dyDescent="0.3">
      <c r="A10" s="3" t="s">
        <v>36</v>
      </c>
      <c r="B10" s="3" t="s">
        <v>115</v>
      </c>
      <c r="C10" s="3" t="s">
        <v>116</v>
      </c>
      <c r="D10" s="14" t="s">
        <v>37</v>
      </c>
      <c r="E10" s="3" t="s">
        <v>13</v>
      </c>
      <c r="F10" s="3" t="s">
        <v>19</v>
      </c>
      <c r="G10" s="3">
        <v>51000</v>
      </c>
      <c r="H10" s="3">
        <v>4000</v>
      </c>
      <c r="I10" s="3">
        <v>4</v>
      </c>
      <c r="J10" s="4">
        <v>43886</v>
      </c>
      <c r="K10" s="5" t="s">
        <v>38</v>
      </c>
      <c r="L10" s="2" t="str">
        <f t="shared" si="0"/>
        <v>Chris Brown</v>
      </c>
      <c r="M10" s="2" t="str">
        <f t="shared" si="1"/>
        <v>Chris Brown</v>
      </c>
      <c r="N10" s="2">
        <f t="shared" si="2"/>
        <v>5</v>
      </c>
      <c r="O10" s="2" t="str">
        <f t="shared" si="3"/>
        <v>E0</v>
      </c>
      <c r="P10" s="2" t="str">
        <f t="shared" si="5"/>
        <v>.com</v>
      </c>
      <c r="Q10" s="2" t="str">
        <f t="shared" si="4"/>
        <v>007</v>
      </c>
      <c r="R10" s="2">
        <f t="shared" si="6"/>
        <v>6</v>
      </c>
      <c r="T10" s="2">
        <f t="shared" si="7"/>
        <v>5</v>
      </c>
      <c r="U10" s="2" t="str">
        <f t="shared" si="8"/>
        <v>Chris</v>
      </c>
      <c r="X10" s="2" t="str">
        <f t="shared" si="9"/>
        <v>Brown</v>
      </c>
    </row>
    <row r="11" spans="1:26" x14ac:dyDescent="0.3">
      <c r="A11" s="3" t="s">
        <v>45</v>
      </c>
      <c r="B11" s="3" t="s">
        <v>117</v>
      </c>
      <c r="C11" s="3" t="s">
        <v>118</v>
      </c>
      <c r="D11" s="14" t="s">
        <v>46</v>
      </c>
      <c r="E11" s="3" t="s">
        <v>13</v>
      </c>
      <c r="F11" s="3" t="s">
        <v>24</v>
      </c>
      <c r="G11" s="3">
        <v>53000</v>
      </c>
      <c r="H11" s="3">
        <v>4200</v>
      </c>
      <c r="I11" s="3">
        <v>4</v>
      </c>
      <c r="J11" s="4">
        <v>44531</v>
      </c>
      <c r="K11" s="5" t="s">
        <v>47</v>
      </c>
      <c r="L11" s="2" t="str">
        <f t="shared" si="0"/>
        <v>Tom Anderson</v>
      </c>
      <c r="M11" s="2" t="str">
        <f t="shared" si="1"/>
        <v>Tom Anderson</v>
      </c>
      <c r="N11" s="2">
        <f t="shared" si="2"/>
        <v>3</v>
      </c>
      <c r="O11" s="2" t="str">
        <f t="shared" si="3"/>
        <v>E0</v>
      </c>
      <c r="P11" s="2" t="str">
        <f t="shared" si="5"/>
        <v>.com</v>
      </c>
      <c r="Q11" s="2" t="str">
        <f t="shared" si="4"/>
        <v>010</v>
      </c>
      <c r="R11" s="2">
        <f t="shared" si="6"/>
        <v>4</v>
      </c>
      <c r="T11" s="2">
        <f t="shared" si="7"/>
        <v>3</v>
      </c>
      <c r="U11" s="2" t="str">
        <f t="shared" si="8"/>
        <v>Tom</v>
      </c>
      <c r="X11" s="2" t="str">
        <f t="shared" si="9"/>
        <v>Anderson</v>
      </c>
    </row>
    <row r="12" spans="1:26" x14ac:dyDescent="0.3">
      <c r="A12" s="3" t="s">
        <v>26</v>
      </c>
      <c r="B12" s="3" t="s">
        <v>119</v>
      </c>
      <c r="C12" s="3" t="s">
        <v>120</v>
      </c>
      <c r="D12" s="14" t="s">
        <v>27</v>
      </c>
      <c r="E12" s="3" t="s">
        <v>13</v>
      </c>
      <c r="F12" s="3" t="s">
        <v>28</v>
      </c>
      <c r="G12" s="3">
        <v>54000</v>
      </c>
      <c r="H12" s="3">
        <v>4500</v>
      </c>
      <c r="I12" s="3">
        <v>4</v>
      </c>
      <c r="J12" s="4">
        <v>44566</v>
      </c>
      <c r="K12" s="5" t="s">
        <v>29</v>
      </c>
      <c r="L12" s="2" t="str">
        <f t="shared" si="0"/>
        <v>Emily Davis</v>
      </c>
      <c r="M12" s="2" t="str">
        <f t="shared" si="1"/>
        <v>Emily Davis</v>
      </c>
      <c r="N12" s="2">
        <f t="shared" si="2"/>
        <v>5</v>
      </c>
      <c r="O12" s="2" t="str">
        <f t="shared" si="3"/>
        <v>E0</v>
      </c>
      <c r="P12" s="2" t="str">
        <f t="shared" si="5"/>
        <v>.com</v>
      </c>
      <c r="Q12" s="2" t="str">
        <f t="shared" si="4"/>
        <v>004</v>
      </c>
      <c r="R12" s="2">
        <f t="shared" si="6"/>
        <v>6</v>
      </c>
      <c r="T12" s="2">
        <f t="shared" si="7"/>
        <v>5</v>
      </c>
      <c r="U12" s="2" t="str">
        <f t="shared" si="8"/>
        <v>Emily</v>
      </c>
      <c r="X12" s="2" t="str">
        <f t="shared" si="9"/>
        <v>Davis</v>
      </c>
    </row>
    <row r="13" spans="1:26" x14ac:dyDescent="0.3">
      <c r="A13" s="3" t="s">
        <v>54</v>
      </c>
      <c r="B13" s="3" t="s">
        <v>121</v>
      </c>
      <c r="C13" s="3" t="s">
        <v>122</v>
      </c>
      <c r="D13" s="14" t="s">
        <v>55</v>
      </c>
      <c r="E13" s="3" t="s">
        <v>13</v>
      </c>
      <c r="F13" s="3" t="s">
        <v>14</v>
      </c>
      <c r="G13" s="3">
        <v>55000</v>
      </c>
      <c r="H13" s="3">
        <v>4700</v>
      </c>
      <c r="I13" s="3">
        <v>4</v>
      </c>
      <c r="J13" s="4">
        <v>43527</v>
      </c>
      <c r="K13" s="5" t="s">
        <v>56</v>
      </c>
      <c r="L13" s="2" t="str">
        <f t="shared" si="0"/>
        <v>Kevin White</v>
      </c>
      <c r="M13" s="2" t="str">
        <f t="shared" si="1"/>
        <v>Kevin White</v>
      </c>
      <c r="N13" s="2">
        <f t="shared" si="2"/>
        <v>5</v>
      </c>
      <c r="O13" s="2" t="str">
        <f t="shared" si="3"/>
        <v>E0</v>
      </c>
      <c r="P13" s="2" t="str">
        <f t="shared" si="5"/>
        <v>.com</v>
      </c>
      <c r="Q13" s="2" t="str">
        <f t="shared" si="4"/>
        <v>013</v>
      </c>
      <c r="R13" s="2">
        <f t="shared" si="6"/>
        <v>6</v>
      </c>
      <c r="T13" s="2">
        <f t="shared" si="7"/>
        <v>5</v>
      </c>
      <c r="U13" s="2" t="str">
        <f t="shared" si="8"/>
        <v>Kevin</v>
      </c>
      <c r="X13" s="2" t="str">
        <f t="shared" si="9"/>
        <v>White</v>
      </c>
    </row>
    <row r="14" spans="1:26" x14ac:dyDescent="0.3">
      <c r="A14" s="3" t="s">
        <v>63</v>
      </c>
      <c r="B14" s="3" t="s">
        <v>123</v>
      </c>
      <c r="C14" s="3" t="s">
        <v>124</v>
      </c>
      <c r="D14" s="14" t="s">
        <v>64</v>
      </c>
      <c r="E14" s="3" t="s">
        <v>13</v>
      </c>
      <c r="F14" s="3" t="s">
        <v>28</v>
      </c>
      <c r="G14" s="3">
        <v>56000</v>
      </c>
      <c r="H14" s="3">
        <v>4800</v>
      </c>
      <c r="I14" s="3">
        <v>4</v>
      </c>
      <c r="J14" s="4">
        <v>43849</v>
      </c>
      <c r="K14" s="5" t="s">
        <v>65</v>
      </c>
      <c r="L14" s="2" t="str">
        <f t="shared" si="0"/>
        <v>Sophia Lewis</v>
      </c>
      <c r="M14" s="2" t="str">
        <f t="shared" si="1"/>
        <v>Sophia Lewis</v>
      </c>
      <c r="N14" s="2">
        <f t="shared" si="2"/>
        <v>6</v>
      </c>
      <c r="O14" s="2" t="str">
        <f t="shared" si="3"/>
        <v>E0</v>
      </c>
      <c r="P14" s="2" t="str">
        <f t="shared" si="5"/>
        <v>.com</v>
      </c>
      <c r="Q14" s="2" t="str">
        <f t="shared" si="4"/>
        <v>016</v>
      </c>
      <c r="R14" s="2">
        <f t="shared" si="6"/>
        <v>7</v>
      </c>
      <c r="T14" s="2">
        <f t="shared" si="7"/>
        <v>6</v>
      </c>
      <c r="U14" s="2" t="str">
        <f t="shared" si="8"/>
        <v>Sophia</v>
      </c>
      <c r="X14" s="2" t="str">
        <f t="shared" si="9"/>
        <v>Lewis</v>
      </c>
    </row>
    <row r="15" spans="1:26" x14ac:dyDescent="0.3">
      <c r="A15" s="3" t="s">
        <v>11</v>
      </c>
      <c r="B15" s="3" t="s">
        <v>125</v>
      </c>
      <c r="C15" s="3" t="s">
        <v>126</v>
      </c>
      <c r="D15" s="14" t="s">
        <v>12</v>
      </c>
      <c r="E15" s="3" t="s">
        <v>13</v>
      </c>
      <c r="F15" s="3" t="s">
        <v>14</v>
      </c>
      <c r="G15" s="3">
        <v>52000</v>
      </c>
      <c r="H15" s="3">
        <v>5000</v>
      </c>
      <c r="I15" s="3">
        <v>4</v>
      </c>
      <c r="J15" s="4">
        <v>44270</v>
      </c>
      <c r="K15" s="5" t="s">
        <v>15</v>
      </c>
      <c r="L15" s="2" t="str">
        <f t="shared" si="0"/>
        <v>John Smith</v>
      </c>
      <c r="M15" s="2" t="str">
        <f t="shared" si="1"/>
        <v>John Smith</v>
      </c>
      <c r="N15" s="2">
        <f t="shared" si="2"/>
        <v>4</v>
      </c>
      <c r="O15" s="2" t="str">
        <f t="shared" si="3"/>
        <v>E0</v>
      </c>
      <c r="P15" s="2" t="str">
        <f t="shared" si="5"/>
        <v>.com</v>
      </c>
      <c r="Q15" s="2" t="str">
        <f t="shared" si="4"/>
        <v>001</v>
      </c>
      <c r="R15" s="2">
        <f t="shared" si="6"/>
        <v>5</v>
      </c>
      <c r="T15" s="2">
        <f t="shared" si="7"/>
        <v>4</v>
      </c>
      <c r="U15" s="2" t="str">
        <f t="shared" si="8"/>
        <v>John</v>
      </c>
      <c r="X15" s="2" t="str">
        <f t="shared" si="9"/>
        <v>Smith</v>
      </c>
    </row>
    <row r="16" spans="1:26" x14ac:dyDescent="0.3">
      <c r="A16" s="3" t="s">
        <v>39</v>
      </c>
      <c r="B16" s="3" t="s">
        <v>127</v>
      </c>
      <c r="C16" s="3" t="s">
        <v>128</v>
      </c>
      <c r="D16" s="14" t="s">
        <v>40</v>
      </c>
      <c r="E16" s="3" t="s">
        <v>23</v>
      </c>
      <c r="F16" s="3" t="s">
        <v>28</v>
      </c>
      <c r="G16" s="3">
        <v>68000</v>
      </c>
      <c r="H16" s="3">
        <v>6000</v>
      </c>
      <c r="I16" s="3">
        <v>5</v>
      </c>
      <c r="J16" s="4">
        <v>43707</v>
      </c>
      <c r="K16" s="5" t="s">
        <v>41</v>
      </c>
      <c r="L16" s="2" t="str">
        <f t="shared" si="0"/>
        <v>David Wilson</v>
      </c>
      <c r="M16" s="2" t="str">
        <f t="shared" si="1"/>
        <v>David Wilson</v>
      </c>
      <c r="N16" s="2">
        <f t="shared" si="2"/>
        <v>5</v>
      </c>
      <c r="O16" s="2" t="str">
        <f t="shared" si="3"/>
        <v>E0</v>
      </c>
      <c r="P16" s="2" t="str">
        <f t="shared" si="5"/>
        <v>.com</v>
      </c>
      <c r="Q16" s="2" t="str">
        <f t="shared" si="4"/>
        <v>008</v>
      </c>
      <c r="R16" s="2">
        <f t="shared" si="6"/>
        <v>6</v>
      </c>
      <c r="T16" s="2">
        <f t="shared" si="7"/>
        <v>5</v>
      </c>
      <c r="U16" s="2" t="str">
        <f t="shared" si="8"/>
        <v>David</v>
      </c>
      <c r="X16" s="2" t="str">
        <f t="shared" si="9"/>
        <v>Wilson</v>
      </c>
    </row>
    <row r="17" spans="1:24" x14ac:dyDescent="0.3">
      <c r="A17" s="3" t="s">
        <v>21</v>
      </c>
      <c r="B17" s="3" t="s">
        <v>129</v>
      </c>
      <c r="C17" s="3" t="s">
        <v>130</v>
      </c>
      <c r="D17" s="14" t="s">
        <v>22</v>
      </c>
      <c r="E17" s="3" t="s">
        <v>23</v>
      </c>
      <c r="F17" s="3" t="s">
        <v>24</v>
      </c>
      <c r="G17" s="3">
        <v>65000</v>
      </c>
      <c r="H17" s="3">
        <v>7000</v>
      </c>
      <c r="I17" s="3">
        <v>5</v>
      </c>
      <c r="J17" s="4">
        <v>43791</v>
      </c>
      <c r="K17" s="5" t="s">
        <v>25</v>
      </c>
      <c r="L17" s="2" t="str">
        <f t="shared" si="0"/>
        <v>Mike Johnson</v>
      </c>
      <c r="M17" s="2" t="str">
        <f t="shared" si="1"/>
        <v>Mike Johnson</v>
      </c>
      <c r="N17" s="2">
        <f t="shared" si="2"/>
        <v>4</v>
      </c>
      <c r="O17" s="2" t="str">
        <f t="shared" si="3"/>
        <v>E0</v>
      </c>
      <c r="P17" s="2" t="str">
        <f t="shared" si="5"/>
        <v>.com</v>
      </c>
      <c r="Q17" s="2" t="str">
        <f t="shared" si="4"/>
        <v>003</v>
      </c>
      <c r="R17" s="2">
        <f t="shared" si="6"/>
        <v>5</v>
      </c>
      <c r="T17" s="2">
        <f t="shared" si="7"/>
        <v>4</v>
      </c>
      <c r="U17" s="2" t="str">
        <f t="shared" si="8"/>
        <v>Mike</v>
      </c>
      <c r="X17" s="2" t="str">
        <f t="shared" si="9"/>
        <v>Johnson</v>
      </c>
    </row>
    <row r="18" spans="1:24" x14ac:dyDescent="0.3">
      <c r="A18" s="3" t="s">
        <v>66</v>
      </c>
      <c r="B18" s="3" t="s">
        <v>131</v>
      </c>
      <c r="C18" s="3" t="s">
        <v>132</v>
      </c>
      <c r="D18" s="14" t="s">
        <v>67</v>
      </c>
      <c r="E18" s="3" t="s">
        <v>23</v>
      </c>
      <c r="F18" s="3" t="s">
        <v>14</v>
      </c>
      <c r="G18" s="3">
        <v>69000</v>
      </c>
      <c r="H18" s="3">
        <v>7100</v>
      </c>
      <c r="I18" s="3">
        <v>5</v>
      </c>
      <c r="J18" s="4">
        <v>43622</v>
      </c>
      <c r="K18" s="5" t="s">
        <v>68</v>
      </c>
      <c r="L18" s="2" t="str">
        <f t="shared" si="0"/>
        <v>James Walker</v>
      </c>
      <c r="M18" s="2" t="str">
        <f t="shared" si="1"/>
        <v>James Walker</v>
      </c>
      <c r="N18" s="2">
        <f t="shared" si="2"/>
        <v>5</v>
      </c>
      <c r="O18" s="2" t="str">
        <f t="shared" si="3"/>
        <v>E0</v>
      </c>
      <c r="P18" s="2" t="str">
        <f t="shared" si="5"/>
        <v>.com</v>
      </c>
      <c r="Q18" s="2" t="str">
        <f t="shared" si="4"/>
        <v>017</v>
      </c>
      <c r="R18" s="2">
        <f t="shared" si="6"/>
        <v>6</v>
      </c>
      <c r="T18" s="2">
        <f t="shared" si="7"/>
        <v>5</v>
      </c>
      <c r="U18" s="2" t="str">
        <f t="shared" si="8"/>
        <v>James</v>
      </c>
      <c r="X18" s="2" t="str">
        <f t="shared" si="9"/>
        <v>Walker</v>
      </c>
    </row>
    <row r="19" spans="1:24" x14ac:dyDescent="0.3">
      <c r="A19" s="3" t="s">
        <v>48</v>
      </c>
      <c r="B19" s="3" t="s">
        <v>133</v>
      </c>
      <c r="C19" s="3" t="s">
        <v>134</v>
      </c>
      <c r="D19" s="14" t="s">
        <v>49</v>
      </c>
      <c r="E19" s="3" t="s">
        <v>23</v>
      </c>
      <c r="F19" s="3" t="s">
        <v>19</v>
      </c>
      <c r="G19" s="3">
        <v>70000</v>
      </c>
      <c r="H19" s="3">
        <v>7500</v>
      </c>
      <c r="I19" s="3">
        <v>5</v>
      </c>
      <c r="J19" s="4">
        <v>43241</v>
      </c>
      <c r="K19" s="5" t="s">
        <v>50</v>
      </c>
      <c r="L19" s="2" t="str">
        <f t="shared" si="0"/>
        <v>Nina Gupta</v>
      </c>
      <c r="M19" s="2" t="str">
        <f t="shared" si="1"/>
        <v>Nina Gupta</v>
      </c>
      <c r="N19" s="2">
        <f t="shared" si="2"/>
        <v>4</v>
      </c>
      <c r="O19" s="2" t="str">
        <f t="shared" si="3"/>
        <v>E0</v>
      </c>
      <c r="P19" s="2" t="str">
        <f t="shared" si="5"/>
        <v>.com</v>
      </c>
      <c r="Q19" s="2" t="str">
        <f t="shared" si="4"/>
        <v>011</v>
      </c>
      <c r="R19" s="2">
        <f t="shared" si="6"/>
        <v>5</v>
      </c>
      <c r="T19" s="2">
        <f t="shared" si="7"/>
        <v>4</v>
      </c>
      <c r="U19" s="2" t="str">
        <f t="shared" si="8"/>
        <v>Nina</v>
      </c>
      <c r="X19" s="2" t="str">
        <f t="shared" si="9"/>
        <v>Gupta</v>
      </c>
    </row>
    <row r="20" spans="1:24" x14ac:dyDescent="0.3">
      <c r="A20" s="3" t="s">
        <v>75</v>
      </c>
      <c r="B20" s="3" t="s">
        <v>135</v>
      </c>
      <c r="C20" s="3" t="s">
        <v>136</v>
      </c>
      <c r="D20" s="14" t="s">
        <v>76</v>
      </c>
      <c r="E20" s="3" t="s">
        <v>23</v>
      </c>
      <c r="F20" s="3" t="s">
        <v>28</v>
      </c>
      <c r="G20" s="3">
        <v>71000</v>
      </c>
      <c r="H20" s="3">
        <v>7800</v>
      </c>
      <c r="I20" s="3">
        <v>5</v>
      </c>
      <c r="J20" s="4">
        <v>43458</v>
      </c>
      <c r="K20" s="5" t="s">
        <v>77</v>
      </c>
      <c r="L20" s="2" t="str">
        <f t="shared" si="0"/>
        <v>Chloe Young</v>
      </c>
      <c r="M20" s="2" t="str">
        <f t="shared" si="1"/>
        <v>Chloe Young</v>
      </c>
      <c r="N20" s="2">
        <f t="shared" si="2"/>
        <v>5</v>
      </c>
      <c r="O20" s="2" t="str">
        <f t="shared" si="3"/>
        <v>E0</v>
      </c>
      <c r="P20" s="2" t="str">
        <f t="shared" si="5"/>
        <v>.com</v>
      </c>
      <c r="Q20" s="2" t="str">
        <f t="shared" si="4"/>
        <v>020</v>
      </c>
      <c r="R20" s="2">
        <f t="shared" si="6"/>
        <v>6</v>
      </c>
      <c r="T20" s="2">
        <f t="shared" si="7"/>
        <v>5</v>
      </c>
      <c r="U20" s="2" t="str">
        <f t="shared" si="8"/>
        <v>Chloe</v>
      </c>
      <c r="X20" s="2" t="str">
        <f t="shared" si="9"/>
        <v>Young</v>
      </c>
    </row>
    <row r="21" spans="1:24" x14ac:dyDescent="0.3">
      <c r="A21" s="3" t="s">
        <v>30</v>
      </c>
      <c r="B21" s="3" t="s">
        <v>137</v>
      </c>
      <c r="C21" s="3" t="s">
        <v>138</v>
      </c>
      <c r="D21" s="14" t="s">
        <v>31</v>
      </c>
      <c r="E21" s="3" t="s">
        <v>23</v>
      </c>
      <c r="F21" s="3" t="s">
        <v>14</v>
      </c>
      <c r="G21" s="3">
        <v>72000</v>
      </c>
      <c r="H21" s="3">
        <v>8000</v>
      </c>
      <c r="I21" s="3">
        <v>5</v>
      </c>
      <c r="J21" s="4">
        <v>43361</v>
      </c>
      <c r="K21" s="5" t="s">
        <v>32</v>
      </c>
      <c r="L21" s="2" t="str">
        <f t="shared" si="0"/>
        <v>Raj Patel</v>
      </c>
      <c r="M21" s="2" t="str">
        <f t="shared" si="1"/>
        <v>Raj Patel</v>
      </c>
      <c r="N21" s="2">
        <f t="shared" si="2"/>
        <v>3</v>
      </c>
      <c r="O21" s="2" t="str">
        <f t="shared" si="3"/>
        <v>E0</v>
      </c>
      <c r="P21" s="2" t="str">
        <f t="shared" si="5"/>
        <v>.com</v>
      </c>
      <c r="Q21" s="2" t="str">
        <f t="shared" si="4"/>
        <v>005</v>
      </c>
      <c r="R21" s="2">
        <f t="shared" si="6"/>
        <v>4</v>
      </c>
      <c r="T21" s="2">
        <f t="shared" si="7"/>
        <v>3</v>
      </c>
      <c r="U21" s="2" t="str">
        <f t="shared" si="8"/>
        <v>Raj</v>
      </c>
      <c r="X21" s="2" t="str">
        <f t="shared" si="9"/>
        <v>Patel</v>
      </c>
    </row>
    <row r="22" spans="1:24" x14ac:dyDescent="0.3">
      <c r="A22" s="3" t="s">
        <v>57</v>
      </c>
      <c r="B22" s="3" t="s">
        <v>139</v>
      </c>
      <c r="C22" s="3" t="s">
        <v>140</v>
      </c>
      <c r="D22" s="14" t="s">
        <v>58</v>
      </c>
      <c r="E22" s="3" t="s">
        <v>23</v>
      </c>
      <c r="F22" s="3" t="s">
        <v>24</v>
      </c>
      <c r="G22" s="3">
        <v>73000</v>
      </c>
      <c r="H22" s="3">
        <v>8200</v>
      </c>
      <c r="I22" s="3">
        <v>5</v>
      </c>
      <c r="J22" s="4">
        <v>42930</v>
      </c>
      <c r="K22" s="5" t="s">
        <v>59</v>
      </c>
      <c r="L22" s="2" t="str">
        <f t="shared" si="0"/>
        <v>Priya Sharma</v>
      </c>
      <c r="M22" s="2" t="str">
        <f t="shared" si="1"/>
        <v>Priya Sharma</v>
      </c>
      <c r="N22" s="2">
        <f t="shared" si="2"/>
        <v>5</v>
      </c>
      <c r="O22" s="2" t="str">
        <f t="shared" si="3"/>
        <v>E0</v>
      </c>
      <c r="P22" s="2" t="str">
        <f t="shared" si="5"/>
        <v>.com</v>
      </c>
      <c r="Q22" s="2" t="str">
        <f t="shared" si="4"/>
        <v>014</v>
      </c>
      <c r="R22" s="2">
        <f t="shared" si="6"/>
        <v>6</v>
      </c>
      <c r="T22" s="2">
        <f t="shared" si="7"/>
        <v>5</v>
      </c>
      <c r="U22" s="2" t="str">
        <f t="shared" si="8"/>
        <v>Priya</v>
      </c>
      <c r="X22" s="2" t="str">
        <f t="shared" si="9"/>
        <v>Sharma</v>
      </c>
    </row>
    <row r="23" spans="1:24" x14ac:dyDescent="0.3">
      <c r="F23" s="2">
        <f>SUM(G3:G22)</f>
        <v>1143000</v>
      </c>
      <c r="G23" s="2">
        <f>SUM(H3:H22)</f>
        <v>97800</v>
      </c>
    </row>
  </sheetData>
  <mergeCells count="2">
    <mergeCell ref="K1:L1"/>
    <mergeCell ref="Y1:Z1"/>
  </mergeCells>
  <hyperlinks>
    <hyperlink ref="K15" r:id="rId1" display="mailto:john.smith@email.com"/>
    <hyperlink ref="K8" r:id="rId2" display="mailto:sara.khan@email.com"/>
    <hyperlink ref="K17" r:id="rId3" display="mailto:mike.j@email.com"/>
    <hyperlink ref="K12" r:id="rId4" display="mailto:emily.d@email.com"/>
    <hyperlink ref="K21" r:id="rId5" display="mailto:raj.patel@email.com"/>
    <hyperlink ref="K5" r:id="rId6" display="mailto:anna.lee@email.com"/>
    <hyperlink ref="K10" r:id="rId7" display="mailto:chris.b@email.com"/>
    <hyperlink ref="K16" r:id="rId8" display="mailto:david.w@email.com"/>
    <hyperlink ref="K3" r:id="rId9"/>
    <hyperlink ref="K11" r:id="rId10" display="mailto:tom.a@email.com"/>
    <hyperlink ref="K19" r:id="rId11" display="mailto:nina.g@email.com"/>
    <hyperlink ref="K7" r:id="rId12" display="mailto:alex.m@email.com"/>
    <hyperlink ref="K13" r:id="rId13" display="mailto:kevin.w@email.com"/>
    <hyperlink ref="K22" r:id="rId14" display="mailto:priya.s@email.com"/>
    <hyperlink ref="K4" r:id="rId15" display="mailto:daniel.c@email.com"/>
    <hyperlink ref="K14" r:id="rId16" display="mailto:sophia.l@email.com"/>
    <hyperlink ref="K18" r:id="rId17" display="mailto:james.w@email.com"/>
    <hyperlink ref="K6" r:id="rId18" display="mailto:olivia.h@email.com"/>
    <hyperlink ref="K9" r:id="rId19" display="mailto:ethan.a@email.com"/>
    <hyperlink ref="K20" r:id="rId20" display="mailto:chloe.y@email.com"/>
  </hyperlinks>
  <pageMargins left="0.7" right="0.7" top="0.75" bottom="0.75" header="0.3" footer="0.3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sqref="A1:I22"/>
    </sheetView>
  </sheetViews>
  <sheetFormatPr defaultRowHeight="14.4" x14ac:dyDescent="0.3"/>
  <cols>
    <col min="1" max="1" width="6.5546875" style="2" bestFit="1" customWidth="1"/>
    <col min="2" max="2" width="12.77734375" style="2" bestFit="1" customWidth="1"/>
    <col min="3" max="3" width="5.109375" style="2" bestFit="1" customWidth="1"/>
    <col min="4" max="4" width="6.77734375" style="2" bestFit="1" customWidth="1"/>
    <col min="5" max="5" width="8" style="2" bestFit="1" customWidth="1"/>
    <col min="6" max="6" width="6.21875" style="2" bestFit="1" customWidth="1"/>
    <col min="7" max="7" width="6.33203125" style="2" bestFit="1" customWidth="1"/>
    <col min="8" max="8" width="10.33203125" style="2" bestFit="1" customWidth="1"/>
    <col min="9" max="9" width="20.109375" style="2" bestFit="1" customWidth="1"/>
    <col min="10" max="10" width="20.109375" style="2" customWidth="1"/>
    <col min="11" max="13" width="10.88671875" style="2" bestFit="1" customWidth="1"/>
    <col min="14" max="16384" width="8.88671875" style="2"/>
  </cols>
  <sheetData>
    <row r="1" spans="1:19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1"/>
      <c r="K1" s="1" t="s">
        <v>88</v>
      </c>
      <c r="L1" s="1" t="s">
        <v>84</v>
      </c>
      <c r="M1" s="1" t="s">
        <v>89</v>
      </c>
      <c r="N1" s="1" t="s">
        <v>85</v>
      </c>
      <c r="O1" s="1" t="s">
        <v>86</v>
      </c>
      <c r="P1" s="1" t="s">
        <v>87</v>
      </c>
      <c r="R1" s="1" t="s">
        <v>90</v>
      </c>
      <c r="S1" s="1" t="s">
        <v>91</v>
      </c>
    </row>
    <row r="2" spans="1:19" x14ac:dyDescent="0.3">
      <c r="A2" s="7" t="s">
        <v>42</v>
      </c>
      <c r="B2" s="7" t="s">
        <v>43</v>
      </c>
      <c r="C2" s="7" t="s">
        <v>18</v>
      </c>
      <c r="D2" s="7" t="s">
        <v>14</v>
      </c>
      <c r="E2" s="7">
        <v>46000</v>
      </c>
      <c r="F2" s="7">
        <v>2000</v>
      </c>
      <c r="G2" s="7">
        <v>2</v>
      </c>
      <c r="H2" s="8">
        <v>44668</v>
      </c>
      <c r="I2" s="9" t="s">
        <v>44</v>
      </c>
      <c r="J2" s="5"/>
      <c r="K2" s="2" t="b">
        <f>G2&gt;2</f>
        <v>0</v>
      </c>
      <c r="L2" s="2" t="str">
        <f t="shared" ref="L2" si="0">IF(F2&lt;4000,"Low","Good")</f>
        <v>Low</v>
      </c>
      <c r="M2" s="2" t="str">
        <f>IF(F2&lt;4000,"Low",IF(F2&lt;6000,"Avg","Good"))</f>
        <v>Low</v>
      </c>
      <c r="N2" s="2" t="str">
        <f>IF(AND(C2="HR",D2="West"),"Yes","No")</f>
        <v>No</v>
      </c>
      <c r="O2" s="2" t="str">
        <f>IF(OR(C2="IT",D2="South"),"Yes","No")</f>
        <v>No</v>
      </c>
      <c r="P2" s="2" t="b">
        <f>NOT(F2&lt;5000)</f>
        <v>0</v>
      </c>
    </row>
    <row r="3" spans="1:19" x14ac:dyDescent="0.3">
      <c r="A3" s="7" t="s">
        <v>60</v>
      </c>
      <c r="B3" s="7" t="s">
        <v>61</v>
      </c>
      <c r="C3" s="7" t="s">
        <v>18</v>
      </c>
      <c r="D3" s="7" t="s">
        <v>19</v>
      </c>
      <c r="E3" s="7">
        <v>45000</v>
      </c>
      <c r="F3" s="7">
        <v>2200</v>
      </c>
      <c r="G3" s="7">
        <v>2</v>
      </c>
      <c r="H3" s="8">
        <v>44448</v>
      </c>
      <c r="I3" s="9" t="s">
        <v>62</v>
      </c>
      <c r="J3" s="5"/>
      <c r="K3" s="2" t="b">
        <f t="shared" ref="K3:K21" si="1">G3&gt;2</f>
        <v>0</v>
      </c>
      <c r="L3" s="2" t="str">
        <f>IF(F3&lt;4000,"Low","Good")</f>
        <v>Low</v>
      </c>
      <c r="M3" s="2" t="str">
        <f t="shared" ref="M3:M21" si="2">IF(F3&lt;4000,"Low",IF(F3&lt;6000,"Avg","Good"))</f>
        <v>Low</v>
      </c>
      <c r="N3" s="2" t="str">
        <f t="shared" ref="N3:N21" si="3">IF(AND(C3="HR",D3="West"),"Yes","No")</f>
        <v>Yes</v>
      </c>
      <c r="O3" s="2" t="str">
        <f t="shared" ref="O3:O21" si="4">IF(OR(C3="IT",D3="South"),"Yes","No")</f>
        <v>No</v>
      </c>
      <c r="P3" s="2" t="b">
        <f t="shared" ref="P3:P21" si="5">NOT(F3&lt;5000)</f>
        <v>0</v>
      </c>
    </row>
    <row r="4" spans="1:19" x14ac:dyDescent="0.3">
      <c r="A4" s="7" t="s">
        <v>33</v>
      </c>
      <c r="B4" s="7" t="s">
        <v>34</v>
      </c>
      <c r="C4" s="7" t="s">
        <v>18</v>
      </c>
      <c r="D4" s="7" t="s">
        <v>24</v>
      </c>
      <c r="E4" s="7">
        <v>47000</v>
      </c>
      <c r="F4" s="7">
        <v>2500</v>
      </c>
      <c r="G4" s="7">
        <v>3</v>
      </c>
      <c r="H4" s="8">
        <v>44359</v>
      </c>
      <c r="I4" s="9" t="s">
        <v>35</v>
      </c>
      <c r="J4" s="5"/>
      <c r="K4" s="2" t="b">
        <f t="shared" si="1"/>
        <v>1</v>
      </c>
      <c r="L4" s="2" t="str">
        <f t="shared" ref="L4:L21" si="6">IF(F4&lt;4000,"Low","Good")</f>
        <v>Low</v>
      </c>
      <c r="M4" s="2" t="str">
        <f t="shared" si="2"/>
        <v>Low</v>
      </c>
      <c r="N4" s="2" t="str">
        <f t="shared" si="3"/>
        <v>No</v>
      </c>
      <c r="O4" s="2" t="str">
        <f t="shared" si="4"/>
        <v>No</v>
      </c>
      <c r="P4" s="2" t="b">
        <f t="shared" si="5"/>
        <v>0</v>
      </c>
    </row>
    <row r="5" spans="1:19" x14ac:dyDescent="0.3">
      <c r="A5" s="7" t="s">
        <v>69</v>
      </c>
      <c r="B5" s="7" t="s">
        <v>70</v>
      </c>
      <c r="C5" s="7" t="s">
        <v>18</v>
      </c>
      <c r="D5" s="7" t="s">
        <v>24</v>
      </c>
      <c r="E5" s="7">
        <v>47000</v>
      </c>
      <c r="F5" s="7">
        <v>2600</v>
      </c>
      <c r="G5" s="7">
        <v>3</v>
      </c>
      <c r="H5" s="8">
        <v>44620</v>
      </c>
      <c r="I5" s="9" t="s">
        <v>71</v>
      </c>
      <c r="J5" s="5"/>
      <c r="K5" s="2" t="b">
        <f t="shared" si="1"/>
        <v>1</v>
      </c>
      <c r="L5" s="2" t="str">
        <f t="shared" si="6"/>
        <v>Low</v>
      </c>
      <c r="M5" s="2" t="str">
        <f t="shared" si="2"/>
        <v>Low</v>
      </c>
      <c r="N5" s="2" t="str">
        <f t="shared" si="3"/>
        <v>No</v>
      </c>
      <c r="O5" s="2" t="str">
        <f t="shared" si="4"/>
        <v>No</v>
      </c>
      <c r="P5" s="2" t="b">
        <f t="shared" si="5"/>
        <v>0</v>
      </c>
    </row>
    <row r="6" spans="1:19" x14ac:dyDescent="0.3">
      <c r="A6" s="7" t="s">
        <v>51</v>
      </c>
      <c r="B6" s="7" t="s">
        <v>52</v>
      </c>
      <c r="C6" s="7" t="s">
        <v>18</v>
      </c>
      <c r="D6" s="7" t="s">
        <v>28</v>
      </c>
      <c r="E6" s="7">
        <v>49000</v>
      </c>
      <c r="F6" s="7">
        <v>2800</v>
      </c>
      <c r="G6" s="7">
        <v>3</v>
      </c>
      <c r="H6" s="8">
        <v>44115</v>
      </c>
      <c r="I6" s="9" t="s">
        <v>53</v>
      </c>
      <c r="J6" s="5"/>
      <c r="K6" s="2" t="b">
        <f t="shared" si="1"/>
        <v>1</v>
      </c>
      <c r="L6" s="2" t="str">
        <f t="shared" si="6"/>
        <v>Low</v>
      </c>
      <c r="M6" s="2" t="str">
        <f t="shared" si="2"/>
        <v>Low</v>
      </c>
      <c r="N6" s="2" t="str">
        <f t="shared" si="3"/>
        <v>No</v>
      </c>
      <c r="O6" s="2" t="str">
        <f t="shared" si="4"/>
        <v>Yes</v>
      </c>
      <c r="P6" s="2" t="b">
        <f t="shared" si="5"/>
        <v>0</v>
      </c>
    </row>
    <row r="7" spans="1:19" x14ac:dyDescent="0.3">
      <c r="A7" s="7" t="s">
        <v>16</v>
      </c>
      <c r="B7" s="7" t="s">
        <v>17</v>
      </c>
      <c r="C7" s="7" t="s">
        <v>18</v>
      </c>
      <c r="D7" s="7" t="s">
        <v>19</v>
      </c>
      <c r="E7" s="7">
        <v>48000</v>
      </c>
      <c r="F7" s="7">
        <v>3000</v>
      </c>
      <c r="G7" s="7">
        <v>3</v>
      </c>
      <c r="H7" s="8">
        <v>44022</v>
      </c>
      <c r="I7" s="9" t="s">
        <v>20</v>
      </c>
      <c r="J7" s="5"/>
      <c r="K7" s="2" t="b">
        <f t="shared" si="1"/>
        <v>1</v>
      </c>
      <c r="L7" s="2" t="str">
        <f t="shared" si="6"/>
        <v>Low</v>
      </c>
      <c r="M7" s="2" t="str">
        <f t="shared" si="2"/>
        <v>Low</v>
      </c>
      <c r="N7" s="2" t="str">
        <f t="shared" si="3"/>
        <v>Yes</v>
      </c>
      <c r="O7" s="2" t="str">
        <f t="shared" si="4"/>
        <v>No</v>
      </c>
      <c r="P7" s="2" t="b">
        <f t="shared" si="5"/>
        <v>0</v>
      </c>
    </row>
    <row r="8" spans="1:19" x14ac:dyDescent="0.3">
      <c r="A8" s="7" t="s">
        <v>72</v>
      </c>
      <c r="B8" s="7" t="s">
        <v>73</v>
      </c>
      <c r="C8" s="7" t="s">
        <v>13</v>
      </c>
      <c r="D8" s="7" t="s">
        <v>19</v>
      </c>
      <c r="E8" s="7">
        <v>52000</v>
      </c>
      <c r="F8" s="7">
        <v>3900</v>
      </c>
      <c r="G8" s="7">
        <v>4</v>
      </c>
      <c r="H8" s="8">
        <v>44329</v>
      </c>
      <c r="I8" s="9" t="s">
        <v>74</v>
      </c>
      <c r="J8" s="5"/>
      <c r="K8" s="2" t="b">
        <f t="shared" si="1"/>
        <v>1</v>
      </c>
      <c r="L8" s="2" t="str">
        <f t="shared" si="6"/>
        <v>Low</v>
      </c>
      <c r="M8" s="2" t="str">
        <f t="shared" si="2"/>
        <v>Low</v>
      </c>
      <c r="N8" s="2" t="str">
        <f t="shared" si="3"/>
        <v>No</v>
      </c>
      <c r="O8" s="2" t="str">
        <f t="shared" si="4"/>
        <v>No</v>
      </c>
      <c r="P8" s="2" t="b">
        <f t="shared" si="5"/>
        <v>0</v>
      </c>
    </row>
    <row r="9" spans="1:19" x14ac:dyDescent="0.3">
      <c r="A9" s="7" t="s">
        <v>36</v>
      </c>
      <c r="B9" s="7" t="s">
        <v>37</v>
      </c>
      <c r="C9" s="7" t="s">
        <v>13</v>
      </c>
      <c r="D9" s="7" t="s">
        <v>19</v>
      </c>
      <c r="E9" s="7">
        <v>51000</v>
      </c>
      <c r="F9" s="7">
        <v>4000</v>
      </c>
      <c r="G9" s="7">
        <v>4</v>
      </c>
      <c r="H9" s="8">
        <v>43886</v>
      </c>
      <c r="I9" s="9" t="s">
        <v>38</v>
      </c>
      <c r="J9" s="5"/>
      <c r="K9" s="2" t="b">
        <f t="shared" si="1"/>
        <v>1</v>
      </c>
      <c r="L9" s="2" t="str">
        <f t="shared" si="6"/>
        <v>Good</v>
      </c>
      <c r="M9" s="2" t="str">
        <f t="shared" si="2"/>
        <v>Avg</v>
      </c>
      <c r="N9" s="2" t="str">
        <f t="shared" si="3"/>
        <v>No</v>
      </c>
      <c r="O9" s="2" t="str">
        <f t="shared" si="4"/>
        <v>No</v>
      </c>
      <c r="P9" s="2" t="b">
        <f t="shared" si="5"/>
        <v>0</v>
      </c>
    </row>
    <row r="10" spans="1:19" x14ac:dyDescent="0.3">
      <c r="A10" s="7" t="s">
        <v>45</v>
      </c>
      <c r="B10" s="7" t="s">
        <v>46</v>
      </c>
      <c r="C10" s="7" t="s">
        <v>13</v>
      </c>
      <c r="D10" s="7" t="s">
        <v>24</v>
      </c>
      <c r="E10" s="7">
        <v>53000</v>
      </c>
      <c r="F10" s="7">
        <v>4200</v>
      </c>
      <c r="G10" s="7">
        <v>4</v>
      </c>
      <c r="H10" s="8">
        <v>44531</v>
      </c>
      <c r="I10" s="9" t="s">
        <v>47</v>
      </c>
      <c r="J10" s="5"/>
      <c r="K10" s="2" t="b">
        <f t="shared" si="1"/>
        <v>1</v>
      </c>
      <c r="L10" s="2" t="str">
        <f t="shared" si="6"/>
        <v>Good</v>
      </c>
      <c r="M10" s="2" t="str">
        <f t="shared" si="2"/>
        <v>Avg</v>
      </c>
      <c r="N10" s="2" t="str">
        <f t="shared" si="3"/>
        <v>No</v>
      </c>
      <c r="O10" s="2" t="str">
        <f t="shared" si="4"/>
        <v>No</v>
      </c>
      <c r="P10" s="2" t="b">
        <f t="shared" si="5"/>
        <v>0</v>
      </c>
    </row>
    <row r="11" spans="1:19" x14ac:dyDescent="0.3">
      <c r="A11" s="7" t="s">
        <v>26</v>
      </c>
      <c r="B11" s="7" t="s">
        <v>27</v>
      </c>
      <c r="C11" s="7" t="s">
        <v>13</v>
      </c>
      <c r="D11" s="7" t="s">
        <v>28</v>
      </c>
      <c r="E11" s="7">
        <v>54000</v>
      </c>
      <c r="F11" s="7">
        <v>4500</v>
      </c>
      <c r="G11" s="7">
        <v>4</v>
      </c>
      <c r="H11" s="8">
        <v>44566</v>
      </c>
      <c r="I11" s="9" t="s">
        <v>29</v>
      </c>
      <c r="J11" s="5"/>
      <c r="K11" s="2" t="b">
        <f t="shared" si="1"/>
        <v>1</v>
      </c>
      <c r="L11" s="2" t="str">
        <f t="shared" si="6"/>
        <v>Good</v>
      </c>
      <c r="M11" s="2" t="str">
        <f t="shared" si="2"/>
        <v>Avg</v>
      </c>
      <c r="N11" s="2" t="str">
        <f t="shared" si="3"/>
        <v>No</v>
      </c>
      <c r="O11" s="2" t="str">
        <f t="shared" si="4"/>
        <v>Yes</v>
      </c>
      <c r="P11" s="2" t="b">
        <f t="shared" si="5"/>
        <v>0</v>
      </c>
    </row>
    <row r="12" spans="1:19" x14ac:dyDescent="0.3">
      <c r="A12" s="7" t="s">
        <v>54</v>
      </c>
      <c r="B12" s="7" t="s">
        <v>55</v>
      </c>
      <c r="C12" s="7" t="s">
        <v>13</v>
      </c>
      <c r="D12" s="7" t="s">
        <v>14</v>
      </c>
      <c r="E12" s="7">
        <v>55000</v>
      </c>
      <c r="F12" s="7">
        <v>4700</v>
      </c>
      <c r="G12" s="7">
        <v>4</v>
      </c>
      <c r="H12" s="8">
        <v>43527</v>
      </c>
      <c r="I12" s="9" t="s">
        <v>56</v>
      </c>
      <c r="J12" s="5"/>
      <c r="K12" s="2" t="b">
        <f t="shared" si="1"/>
        <v>1</v>
      </c>
      <c r="L12" s="2" t="str">
        <f t="shared" si="6"/>
        <v>Good</v>
      </c>
      <c r="M12" s="2" t="str">
        <f t="shared" si="2"/>
        <v>Avg</v>
      </c>
      <c r="N12" s="2" t="str">
        <f t="shared" si="3"/>
        <v>No</v>
      </c>
      <c r="O12" s="2" t="str">
        <f t="shared" si="4"/>
        <v>No</v>
      </c>
      <c r="P12" s="2" t="b">
        <f t="shared" si="5"/>
        <v>0</v>
      </c>
    </row>
    <row r="13" spans="1:19" x14ac:dyDescent="0.3">
      <c r="A13" s="7" t="s">
        <v>63</v>
      </c>
      <c r="B13" s="7" t="s">
        <v>64</v>
      </c>
      <c r="C13" s="7" t="s">
        <v>13</v>
      </c>
      <c r="D13" s="7" t="s">
        <v>28</v>
      </c>
      <c r="E13" s="7">
        <v>56000</v>
      </c>
      <c r="F13" s="7">
        <v>4800</v>
      </c>
      <c r="G13" s="7">
        <v>4</v>
      </c>
      <c r="H13" s="8">
        <v>43849</v>
      </c>
      <c r="I13" s="9" t="s">
        <v>65</v>
      </c>
      <c r="J13" s="5"/>
      <c r="K13" s="2" t="b">
        <f t="shared" si="1"/>
        <v>1</v>
      </c>
      <c r="L13" s="2" t="str">
        <f t="shared" si="6"/>
        <v>Good</v>
      </c>
      <c r="M13" s="2" t="str">
        <f t="shared" si="2"/>
        <v>Avg</v>
      </c>
      <c r="N13" s="2" t="str">
        <f t="shared" si="3"/>
        <v>No</v>
      </c>
      <c r="O13" s="2" t="str">
        <f t="shared" si="4"/>
        <v>Yes</v>
      </c>
      <c r="P13" s="2" t="b">
        <f t="shared" si="5"/>
        <v>0</v>
      </c>
    </row>
    <row r="14" spans="1:19" x14ac:dyDescent="0.3">
      <c r="A14" s="7" t="s">
        <v>11</v>
      </c>
      <c r="B14" s="7" t="s">
        <v>12</v>
      </c>
      <c r="C14" s="7" t="s">
        <v>13</v>
      </c>
      <c r="D14" s="7" t="s">
        <v>14</v>
      </c>
      <c r="E14" s="7">
        <v>52000</v>
      </c>
      <c r="F14" s="7">
        <v>5000</v>
      </c>
      <c r="G14" s="7">
        <v>4</v>
      </c>
      <c r="H14" s="8">
        <v>44270</v>
      </c>
      <c r="I14" s="9" t="s">
        <v>15</v>
      </c>
      <c r="J14" s="5"/>
      <c r="K14" s="2" t="b">
        <f t="shared" si="1"/>
        <v>1</v>
      </c>
      <c r="L14" s="2" t="str">
        <f t="shared" si="6"/>
        <v>Good</v>
      </c>
      <c r="M14" s="2" t="str">
        <f t="shared" si="2"/>
        <v>Avg</v>
      </c>
      <c r="N14" s="2" t="str">
        <f t="shared" si="3"/>
        <v>No</v>
      </c>
      <c r="O14" s="2" t="str">
        <f t="shared" si="4"/>
        <v>No</v>
      </c>
      <c r="P14" s="2" t="b">
        <f t="shared" si="5"/>
        <v>1</v>
      </c>
    </row>
    <row r="15" spans="1:19" x14ac:dyDescent="0.3">
      <c r="A15" s="7" t="s">
        <v>39</v>
      </c>
      <c r="B15" s="7" t="s">
        <v>40</v>
      </c>
      <c r="C15" s="7" t="s">
        <v>23</v>
      </c>
      <c r="D15" s="7" t="s">
        <v>28</v>
      </c>
      <c r="E15" s="7">
        <v>68000</v>
      </c>
      <c r="F15" s="7">
        <v>6000</v>
      </c>
      <c r="G15" s="7">
        <v>5</v>
      </c>
      <c r="H15" s="8">
        <v>43707</v>
      </c>
      <c r="I15" s="9" t="s">
        <v>41</v>
      </c>
      <c r="J15" s="5"/>
      <c r="K15" s="2" t="b">
        <f t="shared" si="1"/>
        <v>1</v>
      </c>
      <c r="L15" s="2" t="str">
        <f t="shared" si="6"/>
        <v>Good</v>
      </c>
      <c r="M15" s="2" t="str">
        <f t="shared" si="2"/>
        <v>Good</v>
      </c>
      <c r="N15" s="2" t="str">
        <f t="shared" si="3"/>
        <v>No</v>
      </c>
      <c r="O15" s="2" t="str">
        <f t="shared" si="4"/>
        <v>Yes</v>
      </c>
      <c r="P15" s="2" t="b">
        <f t="shared" si="5"/>
        <v>1</v>
      </c>
    </row>
    <row r="16" spans="1:19" x14ac:dyDescent="0.3">
      <c r="A16" s="7" t="s">
        <v>21</v>
      </c>
      <c r="B16" s="7" t="s">
        <v>22</v>
      </c>
      <c r="C16" s="7" t="s">
        <v>23</v>
      </c>
      <c r="D16" s="7" t="s">
        <v>24</v>
      </c>
      <c r="E16" s="7">
        <v>65000</v>
      </c>
      <c r="F16" s="7">
        <v>7000</v>
      </c>
      <c r="G16" s="7">
        <v>5</v>
      </c>
      <c r="H16" s="8">
        <v>43791</v>
      </c>
      <c r="I16" s="9" t="s">
        <v>25</v>
      </c>
      <c r="J16" s="5"/>
      <c r="K16" s="2" t="b">
        <f t="shared" si="1"/>
        <v>1</v>
      </c>
      <c r="L16" s="2" t="str">
        <f t="shared" si="6"/>
        <v>Good</v>
      </c>
      <c r="M16" s="2" t="str">
        <f t="shared" si="2"/>
        <v>Good</v>
      </c>
      <c r="N16" s="2" t="str">
        <f t="shared" si="3"/>
        <v>No</v>
      </c>
      <c r="O16" s="2" t="str">
        <f t="shared" si="4"/>
        <v>Yes</v>
      </c>
      <c r="P16" s="2" t="b">
        <f t="shared" si="5"/>
        <v>1</v>
      </c>
    </row>
    <row r="17" spans="1:16" x14ac:dyDescent="0.3">
      <c r="A17" s="7" t="s">
        <v>66</v>
      </c>
      <c r="B17" s="7" t="s">
        <v>67</v>
      </c>
      <c r="C17" s="7" t="s">
        <v>23</v>
      </c>
      <c r="D17" s="7" t="s">
        <v>14</v>
      </c>
      <c r="E17" s="7">
        <v>69000</v>
      </c>
      <c r="F17" s="7">
        <v>7100</v>
      </c>
      <c r="G17" s="7">
        <v>5</v>
      </c>
      <c r="H17" s="8">
        <v>43622</v>
      </c>
      <c r="I17" s="9" t="s">
        <v>68</v>
      </c>
      <c r="J17" s="5"/>
      <c r="K17" s="2" t="b">
        <f t="shared" si="1"/>
        <v>1</v>
      </c>
      <c r="L17" s="2" t="str">
        <f t="shared" si="6"/>
        <v>Good</v>
      </c>
      <c r="M17" s="2" t="str">
        <f t="shared" si="2"/>
        <v>Good</v>
      </c>
      <c r="N17" s="2" t="str">
        <f t="shared" si="3"/>
        <v>No</v>
      </c>
      <c r="O17" s="2" t="str">
        <f t="shared" si="4"/>
        <v>Yes</v>
      </c>
      <c r="P17" s="2" t="b">
        <f t="shared" si="5"/>
        <v>1</v>
      </c>
    </row>
    <row r="18" spans="1:16" x14ac:dyDescent="0.3">
      <c r="A18" s="7" t="s">
        <v>48</v>
      </c>
      <c r="B18" s="7" t="s">
        <v>49</v>
      </c>
      <c r="C18" s="7" t="s">
        <v>23</v>
      </c>
      <c r="D18" s="7" t="s">
        <v>19</v>
      </c>
      <c r="E18" s="7">
        <v>70000</v>
      </c>
      <c r="F18" s="7">
        <v>7500</v>
      </c>
      <c r="G18" s="7">
        <v>5</v>
      </c>
      <c r="H18" s="8">
        <v>43241</v>
      </c>
      <c r="I18" s="9" t="s">
        <v>50</v>
      </c>
      <c r="J18" s="5"/>
      <c r="K18" s="2" t="b">
        <f t="shared" si="1"/>
        <v>1</v>
      </c>
      <c r="L18" s="2" t="str">
        <f t="shared" si="6"/>
        <v>Good</v>
      </c>
      <c r="M18" s="2" t="str">
        <f t="shared" si="2"/>
        <v>Good</v>
      </c>
      <c r="N18" s="2" t="str">
        <f t="shared" si="3"/>
        <v>No</v>
      </c>
      <c r="O18" s="2" t="str">
        <f t="shared" si="4"/>
        <v>Yes</v>
      </c>
      <c r="P18" s="2" t="b">
        <f t="shared" si="5"/>
        <v>1</v>
      </c>
    </row>
    <row r="19" spans="1:16" x14ac:dyDescent="0.3">
      <c r="A19" s="7" t="s">
        <v>75</v>
      </c>
      <c r="B19" s="7" t="s">
        <v>76</v>
      </c>
      <c r="C19" s="7" t="s">
        <v>23</v>
      </c>
      <c r="D19" s="7" t="s">
        <v>28</v>
      </c>
      <c r="E19" s="7">
        <v>71000</v>
      </c>
      <c r="F19" s="7">
        <v>7800</v>
      </c>
      <c r="G19" s="7">
        <v>5</v>
      </c>
      <c r="H19" s="8">
        <v>43458</v>
      </c>
      <c r="I19" s="9" t="s">
        <v>77</v>
      </c>
      <c r="J19" s="5"/>
      <c r="K19" s="2" t="b">
        <f t="shared" si="1"/>
        <v>1</v>
      </c>
      <c r="L19" s="2" t="str">
        <f t="shared" si="6"/>
        <v>Good</v>
      </c>
      <c r="M19" s="2" t="str">
        <f t="shared" si="2"/>
        <v>Good</v>
      </c>
      <c r="N19" s="2" t="str">
        <f t="shared" si="3"/>
        <v>No</v>
      </c>
      <c r="O19" s="2" t="str">
        <f t="shared" si="4"/>
        <v>Yes</v>
      </c>
      <c r="P19" s="2" t="b">
        <f t="shared" si="5"/>
        <v>1</v>
      </c>
    </row>
    <row r="20" spans="1:16" x14ac:dyDescent="0.3">
      <c r="A20" s="7" t="s">
        <v>30</v>
      </c>
      <c r="B20" s="7" t="s">
        <v>31</v>
      </c>
      <c r="C20" s="7" t="s">
        <v>23</v>
      </c>
      <c r="D20" s="7" t="s">
        <v>14</v>
      </c>
      <c r="E20" s="7">
        <v>72000</v>
      </c>
      <c r="F20" s="7">
        <v>8000</v>
      </c>
      <c r="G20" s="7">
        <v>5</v>
      </c>
      <c r="H20" s="8">
        <v>43361</v>
      </c>
      <c r="I20" s="9" t="s">
        <v>32</v>
      </c>
      <c r="J20" s="5"/>
      <c r="K20" s="2" t="b">
        <f t="shared" si="1"/>
        <v>1</v>
      </c>
      <c r="L20" s="2" t="str">
        <f t="shared" si="6"/>
        <v>Good</v>
      </c>
      <c r="M20" s="2" t="str">
        <f t="shared" si="2"/>
        <v>Good</v>
      </c>
      <c r="N20" s="2" t="str">
        <f t="shared" si="3"/>
        <v>No</v>
      </c>
      <c r="O20" s="2" t="str">
        <f t="shared" si="4"/>
        <v>Yes</v>
      </c>
      <c r="P20" s="2" t="b">
        <f t="shared" si="5"/>
        <v>1</v>
      </c>
    </row>
    <row r="21" spans="1:16" x14ac:dyDescent="0.3">
      <c r="A21" s="7" t="s">
        <v>57</v>
      </c>
      <c r="B21" s="7" t="s">
        <v>58</v>
      </c>
      <c r="C21" s="7" t="s">
        <v>23</v>
      </c>
      <c r="D21" s="7" t="s">
        <v>24</v>
      </c>
      <c r="E21" s="7">
        <v>73000</v>
      </c>
      <c r="F21" s="7">
        <v>8200</v>
      </c>
      <c r="G21" s="7">
        <v>5</v>
      </c>
      <c r="H21" s="8">
        <v>42930</v>
      </c>
      <c r="I21" s="9" t="s">
        <v>59</v>
      </c>
      <c r="J21" s="5"/>
      <c r="K21" s="2" t="b">
        <f t="shared" si="1"/>
        <v>1</v>
      </c>
      <c r="L21" s="2" t="str">
        <f t="shared" si="6"/>
        <v>Good</v>
      </c>
      <c r="M21" s="2" t="str">
        <f t="shared" si="2"/>
        <v>Good</v>
      </c>
      <c r="N21" s="2" t="str">
        <f t="shared" si="3"/>
        <v>No</v>
      </c>
      <c r="O21" s="2" t="str">
        <f t="shared" si="4"/>
        <v>Yes</v>
      </c>
      <c r="P21" s="2" t="b">
        <f t="shared" si="5"/>
        <v>1</v>
      </c>
    </row>
    <row r="22" spans="1:16" x14ac:dyDescent="0.3">
      <c r="E22" s="2">
        <f>SUM(E2:E21)</f>
        <v>1143000</v>
      </c>
      <c r="F22" s="2">
        <f>SUM(F2:F21)</f>
        <v>97800</v>
      </c>
    </row>
  </sheetData>
  <sortState ref="A2:I21">
    <sortCondition ref="F2:F21"/>
  </sortState>
  <conditionalFormatting sqref="K1:K21">
    <cfRule type="containsText" dxfId="7" priority="1" operator="containsText" text="TRUE">
      <formula>NOT(ISERROR(SEARCH("TRUE",K1)))</formula>
    </cfRule>
    <cfRule type="containsText" dxfId="6" priority="2" operator="containsText" text="FALSE">
      <formula>NOT(ISERROR(SEARCH("FALSE",K1)))</formula>
    </cfRule>
  </conditionalFormatting>
  <hyperlinks>
    <hyperlink ref="I14" r:id="rId1" display="mailto:john.smith@email.com"/>
    <hyperlink ref="I7" r:id="rId2" display="mailto:sara.khan@email.com"/>
    <hyperlink ref="I16" r:id="rId3" display="mailto:mike.j@email.com"/>
    <hyperlink ref="I11" r:id="rId4" display="mailto:emily.d@email.com"/>
    <hyperlink ref="I20" r:id="rId5" display="mailto:raj.patel@email.com"/>
    <hyperlink ref="I4" r:id="rId6" display="mailto:anna.lee@email.com"/>
    <hyperlink ref="I9" r:id="rId7" display="mailto:chris.b@email.com"/>
    <hyperlink ref="I15" r:id="rId8" display="mailto:david.w@email.com"/>
    <hyperlink ref="I2" r:id="rId9" display="mailto:lisa.t@email.com"/>
    <hyperlink ref="I10" r:id="rId10" display="mailto:tom.a@email.com"/>
    <hyperlink ref="I18" r:id="rId11" display="mailto:nina.g@email.com"/>
    <hyperlink ref="I6" r:id="rId12" display="mailto:alex.m@email.com"/>
    <hyperlink ref="I12" r:id="rId13" display="mailto:kevin.w@email.com"/>
    <hyperlink ref="I21" r:id="rId14" display="mailto:priya.s@email.com"/>
    <hyperlink ref="I3" r:id="rId15" display="mailto:daniel.c@email.com"/>
    <hyperlink ref="I13" r:id="rId16" display="mailto:sophia.l@email.com"/>
    <hyperlink ref="I17" r:id="rId17" display="mailto:james.w@email.com"/>
    <hyperlink ref="I5" r:id="rId18" display="mailto:olivia.h@email.com"/>
    <hyperlink ref="I8" r:id="rId19" display="mailto:ethan.a@email.com"/>
    <hyperlink ref="I19" r:id="rId20" display="mailto:chloe.y@e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7.21875" customWidth="1"/>
    <col min="3" max="3" width="12.5546875" bestFit="1" customWidth="1"/>
  </cols>
  <sheetData>
    <row r="3" spans="1:3" x14ac:dyDescent="0.3">
      <c r="A3" s="16" t="s">
        <v>5</v>
      </c>
      <c r="B3" s="16" t="s">
        <v>4</v>
      </c>
      <c r="C3" t="s">
        <v>152</v>
      </c>
    </row>
    <row r="4" spans="1:3" x14ac:dyDescent="0.3">
      <c r="A4" t="s">
        <v>14</v>
      </c>
      <c r="B4" t="s">
        <v>18</v>
      </c>
      <c r="C4" s="17">
        <v>46000</v>
      </c>
    </row>
    <row r="5" spans="1:3" x14ac:dyDescent="0.3">
      <c r="A5" t="s">
        <v>14</v>
      </c>
      <c r="B5" t="s">
        <v>23</v>
      </c>
      <c r="C5" s="17">
        <v>141000</v>
      </c>
    </row>
    <row r="6" spans="1:3" x14ac:dyDescent="0.3">
      <c r="A6" t="s">
        <v>14</v>
      </c>
      <c r="B6" t="s">
        <v>13</v>
      </c>
      <c r="C6" s="17">
        <v>107000</v>
      </c>
    </row>
    <row r="7" spans="1:3" x14ac:dyDescent="0.3">
      <c r="A7" t="s">
        <v>24</v>
      </c>
      <c r="B7" t="s">
        <v>18</v>
      </c>
      <c r="C7" s="17">
        <v>94000</v>
      </c>
    </row>
    <row r="8" spans="1:3" x14ac:dyDescent="0.3">
      <c r="A8" t="s">
        <v>24</v>
      </c>
      <c r="B8" t="s">
        <v>23</v>
      </c>
      <c r="C8" s="17">
        <v>138000</v>
      </c>
    </row>
    <row r="9" spans="1:3" x14ac:dyDescent="0.3">
      <c r="A9" t="s">
        <v>24</v>
      </c>
      <c r="B9" t="s">
        <v>13</v>
      </c>
      <c r="C9" s="17">
        <v>53000</v>
      </c>
    </row>
    <row r="10" spans="1:3" x14ac:dyDescent="0.3">
      <c r="A10" t="s">
        <v>28</v>
      </c>
      <c r="B10" t="s">
        <v>18</v>
      </c>
      <c r="C10" s="17">
        <v>49000</v>
      </c>
    </row>
    <row r="11" spans="1:3" x14ac:dyDescent="0.3">
      <c r="A11" t="s">
        <v>28</v>
      </c>
      <c r="B11" t="s">
        <v>23</v>
      </c>
      <c r="C11" s="17">
        <v>139000</v>
      </c>
    </row>
    <row r="12" spans="1:3" x14ac:dyDescent="0.3">
      <c r="A12" t="s">
        <v>28</v>
      </c>
      <c r="B12" t="s">
        <v>13</v>
      </c>
      <c r="C12" s="17">
        <v>110000</v>
      </c>
    </row>
    <row r="13" spans="1:3" x14ac:dyDescent="0.3">
      <c r="A13" t="s">
        <v>19</v>
      </c>
      <c r="B13" t="s">
        <v>18</v>
      </c>
      <c r="C13" s="17">
        <v>93000</v>
      </c>
    </row>
    <row r="14" spans="1:3" x14ac:dyDescent="0.3">
      <c r="A14" t="s">
        <v>19</v>
      </c>
      <c r="B14" t="s">
        <v>23</v>
      </c>
      <c r="C14" s="17">
        <v>70000</v>
      </c>
    </row>
    <row r="15" spans="1:3" x14ac:dyDescent="0.3">
      <c r="A15" t="s">
        <v>19</v>
      </c>
      <c r="B15" t="s">
        <v>13</v>
      </c>
      <c r="C15" s="17">
        <v>103000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D8" sqref="D8"/>
    </sheetView>
  </sheetViews>
  <sheetFormatPr defaultRowHeight="14.4" x14ac:dyDescent="0.3"/>
  <cols>
    <col min="1" max="1" width="8" bestFit="1" customWidth="1"/>
    <col min="2" max="2" width="14.88671875" customWidth="1"/>
    <col min="3" max="3" width="16.6640625" customWidth="1"/>
    <col min="4" max="4" width="14.88671875" customWidth="1"/>
    <col min="10" max="10" width="33.77734375" customWidth="1"/>
  </cols>
  <sheetData>
    <row r="1" spans="1:10" ht="43.2" x14ac:dyDescent="0.3">
      <c r="B1" s="18" t="s">
        <v>155</v>
      </c>
      <c r="C1" s="19" t="s">
        <v>150</v>
      </c>
      <c r="D1" s="20" t="s">
        <v>151</v>
      </c>
    </row>
    <row r="2" spans="1:10" x14ac:dyDescent="0.3">
      <c r="B2" s="18" t="s">
        <v>4</v>
      </c>
      <c r="C2" s="21" t="s">
        <v>80</v>
      </c>
      <c r="D2" s="22" t="s">
        <v>81</v>
      </c>
    </row>
    <row r="3" spans="1:10" x14ac:dyDescent="0.3">
      <c r="B3" s="23" t="s">
        <v>14</v>
      </c>
      <c r="C3" s="24">
        <f>SUMIF(SumIF_n_CountIf!$I$2:$I$21,Sheet1!B3,SumIF_n_CountIf!$J$2:$J$21)</f>
        <v>294000</v>
      </c>
      <c r="D3" s="25"/>
    </row>
    <row r="4" spans="1:10" x14ac:dyDescent="0.3">
      <c r="B4" s="23" t="s">
        <v>19</v>
      </c>
      <c r="C4" s="24">
        <f>SUMIF(SumIF_n_CountIf!$I$2:$I$21,Sheet1!B4,SumIF_n_CountIf!$J$2:$J$21)</f>
        <v>266000</v>
      </c>
      <c r="D4" s="25"/>
    </row>
    <row r="5" spans="1:10" x14ac:dyDescent="0.3">
      <c r="B5" s="23" t="s">
        <v>24</v>
      </c>
      <c r="C5" s="24">
        <f>SUMIF(SumIF_n_CountIf!$I$2:$I$21,Sheet1!B5,SumIF_n_CountIf!$J$2:$J$21)</f>
        <v>285000</v>
      </c>
      <c r="D5" s="25"/>
    </row>
    <row r="6" spans="1:10" x14ac:dyDescent="0.3">
      <c r="B6" s="23" t="s">
        <v>28</v>
      </c>
      <c r="C6" s="24">
        <f>SUMIF(SumIF_n_CountIf!$I$2:$I$21,Sheet1!B6,SumIF_n_CountIf!$J$2:$J$21)</f>
        <v>298000</v>
      </c>
      <c r="D6" s="25"/>
    </row>
    <row r="7" spans="1:10" x14ac:dyDescent="0.3">
      <c r="C7" s="15"/>
    </row>
    <row r="8" spans="1:10" ht="57.6" x14ac:dyDescent="0.6">
      <c r="A8" s="18" t="s">
        <v>156</v>
      </c>
      <c r="B8" s="18" t="s">
        <v>157</v>
      </c>
      <c r="C8" s="26" t="s">
        <v>153</v>
      </c>
      <c r="D8" s="20" t="s">
        <v>154</v>
      </c>
      <c r="J8" s="28" t="s">
        <v>158</v>
      </c>
    </row>
    <row r="9" spans="1:10" x14ac:dyDescent="0.3">
      <c r="A9" s="27" t="s">
        <v>5</v>
      </c>
      <c r="B9" s="27" t="s">
        <v>4</v>
      </c>
      <c r="C9" s="21" t="s">
        <v>82</v>
      </c>
      <c r="D9" s="22" t="s">
        <v>83</v>
      </c>
    </row>
    <row r="10" spans="1:10" x14ac:dyDescent="0.3">
      <c r="A10" s="7" t="s">
        <v>14</v>
      </c>
      <c r="B10" s="7" t="s">
        <v>13</v>
      </c>
      <c r="C10" s="24"/>
      <c r="D10" s="25"/>
    </row>
    <row r="11" spans="1:10" x14ac:dyDescent="0.3">
      <c r="A11" s="7" t="s">
        <v>14</v>
      </c>
      <c r="B11" s="7" t="s">
        <v>23</v>
      </c>
      <c r="C11" s="24"/>
      <c r="D11" s="25"/>
    </row>
    <row r="12" spans="1:10" x14ac:dyDescent="0.3">
      <c r="A12" s="7" t="s">
        <v>14</v>
      </c>
      <c r="B12" s="7" t="s">
        <v>18</v>
      </c>
      <c r="C12" s="24"/>
      <c r="D12" s="25"/>
    </row>
    <row r="13" spans="1:10" x14ac:dyDescent="0.3">
      <c r="A13" s="7" t="s">
        <v>24</v>
      </c>
      <c r="B13" s="7" t="s">
        <v>23</v>
      </c>
      <c r="C13" s="24"/>
      <c r="D13" s="25"/>
    </row>
    <row r="14" spans="1:10" x14ac:dyDescent="0.3">
      <c r="A14" s="7" t="s">
        <v>24</v>
      </c>
      <c r="B14" s="7" t="s">
        <v>18</v>
      </c>
      <c r="C14" s="24"/>
      <c r="D14" s="25"/>
    </row>
    <row r="15" spans="1:10" x14ac:dyDescent="0.3">
      <c r="A15" s="7" t="s">
        <v>24</v>
      </c>
      <c r="B15" s="7" t="s">
        <v>13</v>
      </c>
      <c r="C15" s="24"/>
      <c r="D15" s="25"/>
    </row>
    <row r="16" spans="1:10" x14ac:dyDescent="0.3">
      <c r="A16" s="7" t="s">
        <v>28</v>
      </c>
      <c r="B16" s="7" t="s">
        <v>13</v>
      </c>
      <c r="C16" s="24"/>
      <c r="D16" s="25"/>
    </row>
    <row r="17" spans="1:4" x14ac:dyDescent="0.3">
      <c r="A17" s="7" t="s">
        <v>28</v>
      </c>
      <c r="B17" s="7" t="s">
        <v>23</v>
      </c>
      <c r="C17" s="24"/>
      <c r="D17" s="25"/>
    </row>
    <row r="18" spans="1:4" x14ac:dyDescent="0.3">
      <c r="A18" s="7" t="s">
        <v>28</v>
      </c>
      <c r="B18" s="7" t="s">
        <v>18</v>
      </c>
      <c r="C18" s="24"/>
      <c r="D18" s="25"/>
    </row>
    <row r="19" spans="1:4" x14ac:dyDescent="0.3">
      <c r="A19" s="7" t="s">
        <v>19</v>
      </c>
      <c r="B19" s="7" t="s">
        <v>18</v>
      </c>
      <c r="C19" s="24"/>
      <c r="D19" s="25"/>
    </row>
    <row r="20" spans="1:4" x14ac:dyDescent="0.3">
      <c r="A20" s="7" t="s">
        <v>19</v>
      </c>
      <c r="B20" s="7" t="s">
        <v>13</v>
      </c>
      <c r="C20" s="24"/>
      <c r="D20" s="25"/>
    </row>
    <row r="21" spans="1:4" x14ac:dyDescent="0.3">
      <c r="A21" s="7" t="s">
        <v>19</v>
      </c>
      <c r="B21" s="7" t="s">
        <v>23</v>
      </c>
      <c r="C21" s="24"/>
      <c r="D21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sqref="A1:D21"/>
    </sheetView>
  </sheetViews>
  <sheetFormatPr defaultRowHeight="14.4" x14ac:dyDescent="0.3"/>
  <cols>
    <col min="1" max="1" width="8" bestFit="1" customWidth="1"/>
    <col min="2" max="2" width="16.33203125" bestFit="1" customWidth="1"/>
    <col min="3" max="3" width="18.33203125" style="15" customWidth="1"/>
    <col min="4" max="4" width="21.88671875" bestFit="1" customWidth="1"/>
    <col min="6" max="6" width="11" bestFit="1" customWidth="1"/>
    <col min="7" max="7" width="12.77734375" bestFit="1" customWidth="1"/>
    <col min="8" max="8" width="9.44140625" bestFit="1" customWidth="1"/>
    <col min="9" max="9" width="11.21875" bestFit="1" customWidth="1"/>
    <col min="10" max="10" width="10.5546875" bestFit="1" customWidth="1"/>
    <col min="11" max="11" width="10.6640625" bestFit="1" customWidth="1"/>
    <col min="12" max="12" width="10.77734375" bestFit="1" customWidth="1"/>
    <col min="13" max="13" width="12.6640625" bestFit="1" customWidth="1"/>
    <col min="14" max="14" width="20.109375" bestFit="1" customWidth="1"/>
  </cols>
  <sheetData>
    <row r="1" spans="1:14" ht="43.2" x14ac:dyDescent="0.3">
      <c r="A1" s="18" t="s">
        <v>155</v>
      </c>
      <c r="B1" s="19" t="s">
        <v>150</v>
      </c>
      <c r="C1" s="20" t="s">
        <v>151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</row>
    <row r="2" spans="1:14" x14ac:dyDescent="0.3">
      <c r="A2" s="18" t="s">
        <v>4</v>
      </c>
      <c r="B2" s="21" t="s">
        <v>80</v>
      </c>
      <c r="C2" s="22" t="s">
        <v>81</v>
      </c>
      <c r="F2" s="7" t="s">
        <v>42</v>
      </c>
      <c r="G2" s="7" t="s">
        <v>43</v>
      </c>
      <c r="H2" s="7" t="s">
        <v>18</v>
      </c>
      <c r="I2" s="7" t="s">
        <v>14</v>
      </c>
      <c r="J2" s="7">
        <v>46000</v>
      </c>
      <c r="K2" s="7">
        <v>2000</v>
      </c>
      <c r="L2" s="7">
        <v>2</v>
      </c>
      <c r="M2" s="8">
        <v>44668</v>
      </c>
      <c r="N2" s="9" t="s">
        <v>44</v>
      </c>
    </row>
    <row r="3" spans="1:14" x14ac:dyDescent="0.3">
      <c r="A3" s="23" t="s">
        <v>14</v>
      </c>
      <c r="B3" s="24">
        <f>SUMIF($I$2:$I$21,A3,$J$2:$J$21)</f>
        <v>294000</v>
      </c>
      <c r="C3" s="25">
        <f>COUNTIF($I$2:$I$21,A3)</f>
        <v>5</v>
      </c>
      <c r="F3" s="7" t="s">
        <v>60</v>
      </c>
      <c r="G3" s="7" t="s">
        <v>61</v>
      </c>
      <c r="H3" s="7" t="s">
        <v>18</v>
      </c>
      <c r="I3" s="7" t="s">
        <v>19</v>
      </c>
      <c r="J3" s="7">
        <v>45000</v>
      </c>
      <c r="K3" s="7">
        <v>2200</v>
      </c>
      <c r="L3" s="7">
        <v>2</v>
      </c>
      <c r="M3" s="8">
        <v>44448</v>
      </c>
      <c r="N3" s="9" t="s">
        <v>62</v>
      </c>
    </row>
    <row r="4" spans="1:14" x14ac:dyDescent="0.3">
      <c r="A4" s="23" t="s">
        <v>19</v>
      </c>
      <c r="B4" s="24">
        <f>SUMIF($I$2:$I$21,A4,$J$2:$J$21)</f>
        <v>266000</v>
      </c>
      <c r="C4" s="25">
        <f>COUNTIF($I$2:$I$21,A4)</f>
        <v>5</v>
      </c>
      <c r="F4" s="7" t="s">
        <v>33</v>
      </c>
      <c r="G4" s="7" t="s">
        <v>34</v>
      </c>
      <c r="H4" s="7" t="s">
        <v>18</v>
      </c>
      <c r="I4" s="7" t="s">
        <v>24</v>
      </c>
      <c r="J4" s="7">
        <v>47000</v>
      </c>
      <c r="K4" s="7">
        <v>2500</v>
      </c>
      <c r="L4" s="7">
        <v>3</v>
      </c>
      <c r="M4" s="8">
        <v>44359</v>
      </c>
      <c r="N4" s="9" t="s">
        <v>35</v>
      </c>
    </row>
    <row r="5" spans="1:14" x14ac:dyDescent="0.3">
      <c r="A5" s="23" t="s">
        <v>24</v>
      </c>
      <c r="B5" s="24">
        <f>SUMIF($I$2:$I$21,A5,$J$2:$J$21)</f>
        <v>285000</v>
      </c>
      <c r="C5" s="25">
        <f>COUNTIF($I$2:$I$21,A5)</f>
        <v>5</v>
      </c>
      <c r="F5" s="7" t="s">
        <v>69</v>
      </c>
      <c r="G5" s="7" t="s">
        <v>70</v>
      </c>
      <c r="H5" s="7" t="s">
        <v>18</v>
      </c>
      <c r="I5" s="7" t="s">
        <v>24</v>
      </c>
      <c r="J5" s="7">
        <v>47000</v>
      </c>
      <c r="K5" s="7">
        <v>2600</v>
      </c>
      <c r="L5" s="7">
        <v>3</v>
      </c>
      <c r="M5" s="8">
        <v>44620</v>
      </c>
      <c r="N5" s="9" t="s">
        <v>71</v>
      </c>
    </row>
    <row r="6" spans="1:14" x14ac:dyDescent="0.3">
      <c r="A6" s="23" t="s">
        <v>28</v>
      </c>
      <c r="B6" s="24">
        <f>SUMIF($I$2:$I$21,A6,$J$2:$J$21)</f>
        <v>298000</v>
      </c>
      <c r="C6" s="25">
        <f>COUNTIF($I$2:$I$21,A6)</f>
        <v>5</v>
      </c>
      <c r="F6" s="7" t="s">
        <v>51</v>
      </c>
      <c r="G6" s="7" t="s">
        <v>52</v>
      </c>
      <c r="H6" s="7" t="s">
        <v>18</v>
      </c>
      <c r="I6" s="7" t="s">
        <v>28</v>
      </c>
      <c r="J6" s="7">
        <v>49000</v>
      </c>
      <c r="K6" s="7">
        <v>2800</v>
      </c>
      <c r="L6" s="7">
        <v>3</v>
      </c>
      <c r="M6" s="8">
        <v>44115</v>
      </c>
      <c r="N6" s="9" t="s">
        <v>53</v>
      </c>
    </row>
    <row r="7" spans="1:14" ht="14.4" customHeight="1" x14ac:dyDescent="0.3">
      <c r="F7" s="7" t="s">
        <v>16</v>
      </c>
      <c r="G7" s="7" t="s">
        <v>17</v>
      </c>
      <c r="H7" s="7" t="s">
        <v>18</v>
      </c>
      <c r="I7" s="7" t="s">
        <v>19</v>
      </c>
      <c r="J7" s="7">
        <v>48000</v>
      </c>
      <c r="K7" s="7">
        <v>3000</v>
      </c>
      <c r="L7" s="7">
        <v>3</v>
      </c>
      <c r="M7" s="8">
        <v>44022</v>
      </c>
      <c r="N7" s="9" t="s">
        <v>20</v>
      </c>
    </row>
    <row r="8" spans="1:14" ht="57.6" x14ac:dyDescent="0.3">
      <c r="A8" s="18" t="s">
        <v>156</v>
      </c>
      <c r="B8" s="18" t="s">
        <v>157</v>
      </c>
      <c r="C8" s="26" t="s">
        <v>153</v>
      </c>
      <c r="D8" s="20" t="s">
        <v>154</v>
      </c>
      <c r="F8" s="7" t="s">
        <v>72</v>
      </c>
      <c r="G8" s="7" t="s">
        <v>73</v>
      </c>
      <c r="H8" s="7" t="s">
        <v>13</v>
      </c>
      <c r="I8" s="7" t="s">
        <v>19</v>
      </c>
      <c r="J8" s="7">
        <v>52000</v>
      </c>
      <c r="K8" s="7">
        <v>3900</v>
      </c>
      <c r="L8" s="7">
        <v>4</v>
      </c>
      <c r="M8" s="8">
        <v>44329</v>
      </c>
      <c r="N8" s="9" t="s">
        <v>74</v>
      </c>
    </row>
    <row r="9" spans="1:14" x14ac:dyDescent="0.3">
      <c r="A9" s="27" t="s">
        <v>5</v>
      </c>
      <c r="B9" s="27" t="s">
        <v>4</v>
      </c>
      <c r="C9" s="21" t="s">
        <v>82</v>
      </c>
      <c r="D9" s="22" t="s">
        <v>83</v>
      </c>
      <c r="F9" s="7" t="s">
        <v>36</v>
      </c>
      <c r="G9" s="7" t="s">
        <v>37</v>
      </c>
      <c r="H9" s="7" t="s">
        <v>13</v>
      </c>
      <c r="I9" s="7" t="s">
        <v>19</v>
      </c>
      <c r="J9" s="7">
        <v>51000</v>
      </c>
      <c r="K9" s="7">
        <v>4000</v>
      </c>
      <c r="L9" s="7">
        <v>4</v>
      </c>
      <c r="M9" s="8">
        <v>43886</v>
      </c>
      <c r="N9" s="9" t="s">
        <v>38</v>
      </c>
    </row>
    <row r="10" spans="1:14" x14ac:dyDescent="0.3">
      <c r="A10" s="7" t="s">
        <v>14</v>
      </c>
      <c r="B10" s="7" t="s">
        <v>13</v>
      </c>
      <c r="C10" s="24">
        <f>SUMIFS($J$2:$J$21,$I$2:$I$21,A10,$H$2:$H$21,B10)</f>
        <v>107000</v>
      </c>
      <c r="D10" s="25">
        <f>COUNTIFS($I$2:$I$21,A10,$H$2:$H$21,B10)</f>
        <v>2</v>
      </c>
      <c r="F10" s="7" t="s">
        <v>45</v>
      </c>
      <c r="G10" s="7" t="s">
        <v>46</v>
      </c>
      <c r="H10" s="7" t="s">
        <v>13</v>
      </c>
      <c r="I10" s="7" t="s">
        <v>24</v>
      </c>
      <c r="J10" s="7">
        <v>53000</v>
      </c>
      <c r="K10" s="7">
        <v>4200</v>
      </c>
      <c r="L10" s="7">
        <v>4</v>
      </c>
      <c r="M10" s="8">
        <v>44531</v>
      </c>
      <c r="N10" s="9" t="s">
        <v>47</v>
      </c>
    </row>
    <row r="11" spans="1:14" x14ac:dyDescent="0.3">
      <c r="A11" s="7" t="s">
        <v>14</v>
      </c>
      <c r="B11" s="7" t="s">
        <v>23</v>
      </c>
      <c r="C11" s="24">
        <f>SUMIFS($J$2:$J$21,$I$2:$I$21,A11,$H$2:$H$21,B11)</f>
        <v>141000</v>
      </c>
      <c r="D11" s="25">
        <f t="shared" ref="D11:D21" si="0">COUNTIFS($I$2:$I$21,A11,$H$2:$H$21,B11)</f>
        <v>2</v>
      </c>
      <c r="F11" s="7" t="s">
        <v>26</v>
      </c>
      <c r="G11" s="7" t="s">
        <v>27</v>
      </c>
      <c r="H11" s="7" t="s">
        <v>13</v>
      </c>
      <c r="I11" s="7" t="s">
        <v>28</v>
      </c>
      <c r="J11" s="7">
        <v>54000</v>
      </c>
      <c r="K11" s="7">
        <v>4500</v>
      </c>
      <c r="L11" s="7">
        <v>4</v>
      </c>
      <c r="M11" s="8">
        <v>44566</v>
      </c>
      <c r="N11" s="9" t="s">
        <v>29</v>
      </c>
    </row>
    <row r="12" spans="1:14" x14ac:dyDescent="0.3">
      <c r="A12" s="7" t="s">
        <v>14</v>
      </c>
      <c r="B12" s="7" t="s">
        <v>18</v>
      </c>
      <c r="C12" s="24">
        <f t="shared" ref="C12" si="1">SUMIFS($J$2:$J$21,$I$2:$I$21,A12,$H$2:$H$21,B12)</f>
        <v>46000</v>
      </c>
      <c r="D12" s="25">
        <f t="shared" si="0"/>
        <v>1</v>
      </c>
      <c r="F12" s="7" t="s">
        <v>54</v>
      </c>
      <c r="G12" s="7" t="s">
        <v>55</v>
      </c>
      <c r="H12" s="7" t="s">
        <v>13</v>
      </c>
      <c r="I12" s="7" t="s">
        <v>14</v>
      </c>
      <c r="J12" s="7">
        <v>55000</v>
      </c>
      <c r="K12" s="7">
        <v>4700</v>
      </c>
      <c r="L12" s="7">
        <v>4</v>
      </c>
      <c r="M12" s="8">
        <v>43527</v>
      </c>
      <c r="N12" s="9" t="s">
        <v>56</v>
      </c>
    </row>
    <row r="13" spans="1:14" x14ac:dyDescent="0.3">
      <c r="A13" s="7" t="s">
        <v>24</v>
      </c>
      <c r="B13" s="7" t="s">
        <v>23</v>
      </c>
      <c r="C13" s="24">
        <f t="shared" ref="C13:C21" si="2">SUMIFS($J$2:$J$21,$I$2:$I$21,A13,$H$2:$H$21,B13)</f>
        <v>138000</v>
      </c>
      <c r="D13" s="25">
        <f t="shared" si="0"/>
        <v>2</v>
      </c>
      <c r="F13" s="7" t="s">
        <v>63</v>
      </c>
      <c r="G13" s="7" t="s">
        <v>64</v>
      </c>
      <c r="H13" s="7" t="s">
        <v>13</v>
      </c>
      <c r="I13" s="7" t="s">
        <v>28</v>
      </c>
      <c r="J13" s="7">
        <v>56000</v>
      </c>
      <c r="K13" s="7">
        <v>4800</v>
      </c>
      <c r="L13" s="7">
        <v>4</v>
      </c>
      <c r="M13" s="8">
        <v>43849</v>
      </c>
      <c r="N13" s="9" t="s">
        <v>65</v>
      </c>
    </row>
    <row r="14" spans="1:14" x14ac:dyDescent="0.3">
      <c r="A14" s="7" t="s">
        <v>24</v>
      </c>
      <c r="B14" s="7" t="s">
        <v>18</v>
      </c>
      <c r="C14" s="24">
        <f t="shared" si="2"/>
        <v>94000</v>
      </c>
      <c r="D14" s="25">
        <f t="shared" si="0"/>
        <v>2</v>
      </c>
      <c r="F14" s="7" t="s">
        <v>11</v>
      </c>
      <c r="G14" s="7" t="s">
        <v>12</v>
      </c>
      <c r="H14" s="7" t="s">
        <v>13</v>
      </c>
      <c r="I14" s="7" t="s">
        <v>14</v>
      </c>
      <c r="J14" s="7">
        <v>52000</v>
      </c>
      <c r="K14" s="7">
        <v>5000</v>
      </c>
      <c r="L14" s="7">
        <v>4</v>
      </c>
      <c r="M14" s="8">
        <v>44270</v>
      </c>
      <c r="N14" s="9" t="s">
        <v>15</v>
      </c>
    </row>
    <row r="15" spans="1:14" x14ac:dyDescent="0.3">
      <c r="A15" s="7" t="s">
        <v>24</v>
      </c>
      <c r="B15" s="7" t="s">
        <v>13</v>
      </c>
      <c r="C15" s="24">
        <f t="shared" si="2"/>
        <v>53000</v>
      </c>
      <c r="D15" s="25">
        <f t="shared" si="0"/>
        <v>1</v>
      </c>
      <c r="F15" s="7" t="s">
        <v>39</v>
      </c>
      <c r="G15" s="7" t="s">
        <v>40</v>
      </c>
      <c r="H15" s="7" t="s">
        <v>23</v>
      </c>
      <c r="I15" s="7" t="s">
        <v>28</v>
      </c>
      <c r="J15" s="7">
        <v>68000</v>
      </c>
      <c r="K15" s="7">
        <v>6000</v>
      </c>
      <c r="L15" s="7">
        <v>5</v>
      </c>
      <c r="M15" s="8">
        <v>43707</v>
      </c>
      <c r="N15" s="9" t="s">
        <v>41</v>
      </c>
    </row>
    <row r="16" spans="1:14" x14ac:dyDescent="0.3">
      <c r="A16" s="7" t="s">
        <v>28</v>
      </c>
      <c r="B16" s="7" t="s">
        <v>13</v>
      </c>
      <c r="C16" s="24">
        <f t="shared" si="2"/>
        <v>110000</v>
      </c>
      <c r="D16" s="25">
        <f t="shared" si="0"/>
        <v>2</v>
      </c>
      <c r="F16" s="7" t="s">
        <v>21</v>
      </c>
      <c r="G16" s="7" t="s">
        <v>22</v>
      </c>
      <c r="H16" s="7" t="s">
        <v>23</v>
      </c>
      <c r="I16" s="7" t="s">
        <v>24</v>
      </c>
      <c r="J16" s="7">
        <v>65000</v>
      </c>
      <c r="K16" s="7">
        <v>7000</v>
      </c>
      <c r="L16" s="7">
        <v>5</v>
      </c>
      <c r="M16" s="8">
        <v>43791</v>
      </c>
      <c r="N16" s="9" t="s">
        <v>25</v>
      </c>
    </row>
    <row r="17" spans="1:14" x14ac:dyDescent="0.3">
      <c r="A17" s="7" t="s">
        <v>28</v>
      </c>
      <c r="B17" s="7" t="s">
        <v>23</v>
      </c>
      <c r="C17" s="24">
        <f t="shared" si="2"/>
        <v>139000</v>
      </c>
      <c r="D17" s="25">
        <f t="shared" si="0"/>
        <v>2</v>
      </c>
      <c r="F17" s="7" t="s">
        <v>66</v>
      </c>
      <c r="G17" s="7" t="s">
        <v>67</v>
      </c>
      <c r="H17" s="7" t="s">
        <v>23</v>
      </c>
      <c r="I17" s="7" t="s">
        <v>14</v>
      </c>
      <c r="J17" s="7">
        <v>69000</v>
      </c>
      <c r="K17" s="7">
        <v>7100</v>
      </c>
      <c r="L17" s="7">
        <v>5</v>
      </c>
      <c r="M17" s="8">
        <v>43622</v>
      </c>
      <c r="N17" s="9" t="s">
        <v>68</v>
      </c>
    </row>
    <row r="18" spans="1:14" x14ac:dyDescent="0.3">
      <c r="A18" s="7" t="s">
        <v>28</v>
      </c>
      <c r="B18" s="7" t="s">
        <v>18</v>
      </c>
      <c r="C18" s="24">
        <f t="shared" si="2"/>
        <v>49000</v>
      </c>
      <c r="D18" s="25">
        <f t="shared" si="0"/>
        <v>1</v>
      </c>
      <c r="F18" s="7" t="s">
        <v>48</v>
      </c>
      <c r="G18" s="7" t="s">
        <v>49</v>
      </c>
      <c r="H18" s="7" t="s">
        <v>23</v>
      </c>
      <c r="I18" s="7" t="s">
        <v>19</v>
      </c>
      <c r="J18" s="7">
        <v>70000</v>
      </c>
      <c r="K18" s="7">
        <v>7500</v>
      </c>
      <c r="L18" s="7">
        <v>5</v>
      </c>
      <c r="M18" s="8">
        <v>43241</v>
      </c>
      <c r="N18" s="9" t="s">
        <v>50</v>
      </c>
    </row>
    <row r="19" spans="1:14" x14ac:dyDescent="0.3">
      <c r="A19" s="7" t="s">
        <v>19</v>
      </c>
      <c r="B19" s="7" t="s">
        <v>18</v>
      </c>
      <c r="C19" s="24">
        <f t="shared" si="2"/>
        <v>93000</v>
      </c>
      <c r="D19" s="25">
        <f t="shared" si="0"/>
        <v>2</v>
      </c>
      <c r="F19" s="7" t="s">
        <v>75</v>
      </c>
      <c r="G19" s="7" t="s">
        <v>76</v>
      </c>
      <c r="H19" s="7" t="s">
        <v>23</v>
      </c>
      <c r="I19" s="7" t="s">
        <v>28</v>
      </c>
      <c r="J19" s="7">
        <v>71000</v>
      </c>
      <c r="K19" s="7">
        <v>7800</v>
      </c>
      <c r="L19" s="7">
        <v>5</v>
      </c>
      <c r="M19" s="8">
        <v>43458</v>
      </c>
      <c r="N19" s="9" t="s">
        <v>77</v>
      </c>
    </row>
    <row r="20" spans="1:14" x14ac:dyDescent="0.3">
      <c r="A20" s="7" t="s">
        <v>19</v>
      </c>
      <c r="B20" s="7" t="s">
        <v>13</v>
      </c>
      <c r="C20" s="24">
        <f t="shared" si="2"/>
        <v>103000</v>
      </c>
      <c r="D20" s="25">
        <f t="shared" si="0"/>
        <v>2</v>
      </c>
      <c r="F20" s="7" t="s">
        <v>30</v>
      </c>
      <c r="G20" s="7" t="s">
        <v>31</v>
      </c>
      <c r="H20" s="7" t="s">
        <v>23</v>
      </c>
      <c r="I20" s="7" t="s">
        <v>14</v>
      </c>
      <c r="J20" s="7">
        <v>72000</v>
      </c>
      <c r="K20" s="7">
        <v>8000</v>
      </c>
      <c r="L20" s="7">
        <v>5</v>
      </c>
      <c r="M20" s="8">
        <v>43361</v>
      </c>
      <c r="N20" s="9" t="s">
        <v>32</v>
      </c>
    </row>
    <row r="21" spans="1:14" x14ac:dyDescent="0.3">
      <c r="A21" s="7" t="s">
        <v>19</v>
      </c>
      <c r="B21" s="7" t="s">
        <v>23</v>
      </c>
      <c r="C21" s="24">
        <f t="shared" si="2"/>
        <v>70000</v>
      </c>
      <c r="D21" s="25">
        <f t="shared" si="0"/>
        <v>1</v>
      </c>
      <c r="F21" s="7" t="s">
        <v>57</v>
      </c>
      <c r="G21" s="7" t="s">
        <v>58</v>
      </c>
      <c r="H21" s="7" t="s">
        <v>23</v>
      </c>
      <c r="I21" s="7" t="s">
        <v>24</v>
      </c>
      <c r="J21" s="7">
        <v>73000</v>
      </c>
      <c r="K21" s="7">
        <v>8200</v>
      </c>
      <c r="L21" s="7">
        <v>5</v>
      </c>
      <c r="M21" s="8">
        <v>42930</v>
      </c>
      <c r="N21" s="9" t="s">
        <v>59</v>
      </c>
    </row>
    <row r="22" spans="1:14" x14ac:dyDescent="0.3">
      <c r="F22" s="2"/>
      <c r="G22" s="2"/>
      <c r="H22" s="2"/>
      <c r="I22" s="2"/>
      <c r="J22" s="2">
        <f>SUM(J2:J21)</f>
        <v>1143000</v>
      </c>
      <c r="K22" s="2">
        <f>SUM(K2:K21)</f>
        <v>97800</v>
      </c>
      <c r="L22" s="2"/>
      <c r="M22" s="2"/>
      <c r="N22" s="2"/>
    </row>
  </sheetData>
  <autoFilter ref="F1:N22"/>
  <sortState ref="A10:D21">
    <sortCondition ref="A10:A21"/>
  </sortState>
  <hyperlinks>
    <hyperlink ref="N14" r:id="rId1" display="mailto:john.smith@email.com"/>
    <hyperlink ref="N7" r:id="rId2" display="mailto:sara.khan@email.com"/>
    <hyperlink ref="N16" r:id="rId3" display="mailto:mike.j@email.com"/>
    <hyperlink ref="N11" r:id="rId4" display="mailto:emily.d@email.com"/>
    <hyperlink ref="N20" r:id="rId5" display="mailto:raj.patel@email.com"/>
    <hyperlink ref="N4" r:id="rId6" display="mailto:anna.lee@email.com"/>
    <hyperlink ref="N9" r:id="rId7" display="mailto:chris.b@email.com"/>
    <hyperlink ref="N15" r:id="rId8" display="mailto:david.w@email.com"/>
    <hyperlink ref="N2" r:id="rId9" display="mailto:lisa.t@email.com"/>
    <hyperlink ref="N10" r:id="rId10" display="mailto:tom.a@email.com"/>
    <hyperlink ref="N18" r:id="rId11" display="mailto:nina.g@email.com"/>
    <hyperlink ref="N6" r:id="rId12" display="mailto:alex.m@email.com"/>
    <hyperlink ref="N12" r:id="rId13" display="mailto:kevin.w@email.com"/>
    <hyperlink ref="N21" r:id="rId14" display="mailto:priya.s@email.com"/>
    <hyperlink ref="N3" r:id="rId15" display="mailto:daniel.c@email.com"/>
    <hyperlink ref="N13" r:id="rId16" display="mailto:sophia.l@email.com"/>
    <hyperlink ref="N17" r:id="rId17" display="mailto:james.w@email.com"/>
    <hyperlink ref="N5" r:id="rId18" display="mailto:olivia.h@email.com"/>
    <hyperlink ref="N8" r:id="rId19" display="mailto:ethan.a@email.com"/>
    <hyperlink ref="N19" r:id="rId20" display="mailto:chloe.y@email.com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opLeftCell="D1" zoomScale="90" zoomScaleNormal="90" workbookViewId="0">
      <selection activeCell="S4" sqref="S4"/>
    </sheetView>
  </sheetViews>
  <sheetFormatPr defaultRowHeight="14.4" x14ac:dyDescent="0.3"/>
  <cols>
    <col min="1" max="1" width="6.88671875" style="2" bestFit="1" customWidth="1"/>
    <col min="2" max="3" width="13.6640625" style="2" bestFit="1" customWidth="1"/>
    <col min="4" max="4" width="5.44140625" style="2" bestFit="1" customWidth="1"/>
    <col min="5" max="5" width="7.109375" style="2" bestFit="1" customWidth="1"/>
    <col min="6" max="6" width="10.88671875" style="29" bestFit="1" customWidth="1"/>
    <col min="7" max="7" width="8.109375" style="29" bestFit="1" customWidth="1"/>
    <col min="8" max="8" width="6.6640625" style="2" bestFit="1" customWidth="1"/>
    <col min="9" max="9" width="11.21875" style="2" bestFit="1" customWidth="1"/>
    <col min="10" max="10" width="21.33203125" style="2" bestFit="1" customWidth="1"/>
    <col min="11" max="11" width="8.88671875" style="2" bestFit="1" customWidth="1"/>
    <col min="12" max="12" width="12.5546875" style="2" bestFit="1" customWidth="1"/>
    <col min="13" max="13" width="8.109375" style="2" bestFit="1" customWidth="1"/>
    <col min="14" max="14" width="12.44140625" style="2" bestFit="1" customWidth="1"/>
    <col min="15" max="15" width="6.109375" style="2" bestFit="1" customWidth="1"/>
    <col min="16" max="16" width="4.6640625" style="2" hidden="1" customWidth="1"/>
    <col min="17" max="17" width="18.88671875" style="2" bestFit="1" customWidth="1"/>
    <col min="18" max="18" width="11" style="2" bestFit="1" customWidth="1"/>
    <col min="19" max="19" width="9.44140625" style="2" bestFit="1" customWidth="1"/>
    <col min="20" max="20" width="17.5546875" style="2" bestFit="1" customWidth="1"/>
    <col min="21" max="21" width="17" style="2" bestFit="1" customWidth="1"/>
    <col min="22" max="22" width="6.5546875" style="42" bestFit="1" customWidth="1"/>
    <col min="23" max="16384" width="8.88671875" style="42"/>
  </cols>
  <sheetData>
    <row r="1" spans="1:22" s="41" customFormat="1" ht="57.6" x14ac:dyDescent="0.3">
      <c r="A1" s="37"/>
      <c r="B1" s="37"/>
      <c r="C1" s="37"/>
      <c r="D1" s="37"/>
      <c r="E1" s="37"/>
      <c r="F1" s="38"/>
      <c r="G1" s="38"/>
      <c r="H1" s="37"/>
      <c r="I1" s="37"/>
      <c r="J1" s="37"/>
      <c r="K1" s="37" t="s">
        <v>159</v>
      </c>
      <c r="L1" s="37"/>
      <c r="M1" s="37"/>
      <c r="N1" s="37"/>
      <c r="O1" s="39"/>
      <c r="P1" s="39"/>
      <c r="Q1" s="39" t="s">
        <v>170</v>
      </c>
      <c r="R1" s="39"/>
      <c r="S1" s="39"/>
      <c r="T1" s="39" t="s">
        <v>181</v>
      </c>
      <c r="U1" s="39" t="s">
        <v>182</v>
      </c>
    </row>
    <row r="2" spans="1:22" x14ac:dyDescent="0.3">
      <c r="A2" s="35" t="s">
        <v>2</v>
      </c>
      <c r="B2" s="35" t="s">
        <v>168</v>
      </c>
      <c r="C2" s="35" t="s">
        <v>169</v>
      </c>
      <c r="D2" s="35" t="s">
        <v>4</v>
      </c>
      <c r="E2" s="35" t="s">
        <v>5</v>
      </c>
      <c r="F2" s="36" t="s">
        <v>6</v>
      </c>
      <c r="G2" s="36" t="s">
        <v>7</v>
      </c>
      <c r="H2" s="35" t="s">
        <v>8</v>
      </c>
      <c r="I2" s="35" t="s">
        <v>9</v>
      </c>
      <c r="J2" s="35" t="s">
        <v>10</v>
      </c>
      <c r="K2" s="35" t="s">
        <v>88</v>
      </c>
      <c r="L2" s="35" t="s">
        <v>84</v>
      </c>
      <c r="M2" s="35" t="s">
        <v>84</v>
      </c>
      <c r="N2" s="35" t="s">
        <v>84</v>
      </c>
      <c r="O2" s="35" t="s">
        <v>87</v>
      </c>
      <c r="P2" s="35"/>
      <c r="Q2" s="35" t="s">
        <v>167</v>
      </c>
      <c r="R2" s="35" t="s">
        <v>167</v>
      </c>
      <c r="S2" s="35" t="s">
        <v>89</v>
      </c>
      <c r="T2" s="35" t="s">
        <v>85</v>
      </c>
      <c r="U2" s="40" t="s">
        <v>86</v>
      </c>
    </row>
    <row r="3" spans="1:22" x14ac:dyDescent="0.3">
      <c r="A3" s="35"/>
      <c r="B3" s="35"/>
      <c r="C3" s="35"/>
      <c r="D3" s="35"/>
      <c r="E3" s="35"/>
      <c r="F3" s="36"/>
      <c r="G3" s="36"/>
      <c r="H3" s="35"/>
      <c r="I3" s="35"/>
      <c r="J3" s="35"/>
      <c r="K3" s="35" t="s">
        <v>159</v>
      </c>
      <c r="L3" s="35" t="s">
        <v>160</v>
      </c>
      <c r="M3" s="35" t="s">
        <v>161</v>
      </c>
      <c r="N3" s="35" t="s">
        <v>166</v>
      </c>
      <c r="O3" s="35"/>
      <c r="P3" s="35"/>
      <c r="Q3" s="35"/>
      <c r="R3" s="35"/>
      <c r="S3" s="35"/>
      <c r="T3" s="35"/>
      <c r="U3" s="40"/>
    </row>
    <row r="4" spans="1:22" s="30" customFormat="1" x14ac:dyDescent="0.3">
      <c r="A4" s="31" t="s">
        <v>60</v>
      </c>
      <c r="B4" s="31" t="s">
        <v>61</v>
      </c>
      <c r="C4" s="31" t="s">
        <v>162</v>
      </c>
      <c r="D4" s="31" t="s">
        <v>18</v>
      </c>
      <c r="E4" s="31" t="s">
        <v>19</v>
      </c>
      <c r="F4" s="32">
        <v>45000</v>
      </c>
      <c r="G4" s="32">
        <v>2200</v>
      </c>
      <c r="H4" s="31">
        <v>2</v>
      </c>
      <c r="I4" s="33">
        <v>44448</v>
      </c>
      <c r="J4" s="34" t="s">
        <v>62</v>
      </c>
      <c r="K4" s="34" t="b">
        <f t="shared" ref="K4:K23" si="0">F4&lt;=56000</f>
        <v>1</v>
      </c>
      <c r="L4" s="34" t="b">
        <f t="shared" ref="L4:L23" si="1">F4&gt;=56000</f>
        <v>0</v>
      </c>
      <c r="M4" s="34" t="b">
        <f t="shared" ref="M4:M23" si="2">B4=C4</f>
        <v>0</v>
      </c>
      <c r="N4" s="34" t="b">
        <f t="shared" ref="N4:N23" si="3">B4&lt;&gt;C4</f>
        <v>1</v>
      </c>
      <c r="O4" s="34" t="b">
        <f>NOT(F4&lt;50000)</f>
        <v>0</v>
      </c>
      <c r="P4" s="34"/>
      <c r="Q4" s="34" t="str">
        <f t="shared" ref="Q4:Q23" si="4">IF(B4=C4,"Matched","not matched")</f>
        <v>not matched</v>
      </c>
      <c r="R4" s="34" t="str">
        <f t="shared" ref="R4:R23" si="5">IF(F4&lt;56000,"less_Salary","high_Salary")</f>
        <v>less_Salary</v>
      </c>
      <c r="S4" s="34" t="str">
        <f>IF(F4&lt;48000,"Min",IF(F4&lt;50000,"Less",IF(F4&lt;60000,"Avg",IF(F4&lt;65000,"High","Max"))))</f>
        <v>Min</v>
      </c>
      <c r="T4" s="34" t="str">
        <f>IF(AND(D4="HR",H4&gt;6),"Offsite","Local")</f>
        <v>Local</v>
      </c>
      <c r="U4" s="30">
        <f>IF(OR(D4="IT",H4&gt;6),5000,0)</f>
        <v>0</v>
      </c>
      <c r="V4" s="30">
        <f>SEARCH("d",J4,1)</f>
        <v>1</v>
      </c>
    </row>
    <row r="5" spans="1:22" s="30" customFormat="1" x14ac:dyDescent="0.3">
      <c r="A5" s="31" t="s">
        <v>42</v>
      </c>
      <c r="B5" s="31" t="s">
        <v>43</v>
      </c>
      <c r="C5" s="31" t="s">
        <v>43</v>
      </c>
      <c r="D5" s="31" t="s">
        <v>18</v>
      </c>
      <c r="E5" s="31" t="s">
        <v>14</v>
      </c>
      <c r="F5" s="32">
        <v>46000</v>
      </c>
      <c r="G5" s="32">
        <v>2000</v>
      </c>
      <c r="H5" s="31">
        <v>2</v>
      </c>
      <c r="I5" s="33">
        <v>44668</v>
      </c>
      <c r="J5" s="34" t="s">
        <v>44</v>
      </c>
      <c r="K5" s="34" t="b">
        <f t="shared" si="0"/>
        <v>1</v>
      </c>
      <c r="L5" s="34" t="b">
        <f t="shared" si="1"/>
        <v>0</v>
      </c>
      <c r="M5" s="34" t="b">
        <f t="shared" si="2"/>
        <v>1</v>
      </c>
      <c r="N5" s="34" t="b">
        <f t="shared" si="3"/>
        <v>0</v>
      </c>
      <c r="O5" s="34" t="b">
        <f t="shared" ref="O5:O23" si="6">NOT(F5&lt;50000)</f>
        <v>0</v>
      </c>
      <c r="P5" s="34"/>
      <c r="Q5" s="34" t="str">
        <f t="shared" si="4"/>
        <v>Matched</v>
      </c>
      <c r="R5" s="34" t="str">
        <f t="shared" si="5"/>
        <v>less_Salary</v>
      </c>
      <c r="S5" s="34" t="str">
        <f t="shared" ref="S5:S23" si="7">IF(F5&lt;48000,"Min",IF(F5&lt;50000,"Less",IF(F5&lt;60000,"Avg",IF(F5&lt;65000,"High","Max"))))</f>
        <v>Min</v>
      </c>
      <c r="T5" s="34" t="str">
        <f t="shared" ref="T5:T23" si="8">IF(AND(D5="HR",H5&gt;6),"Offsite","Local")</f>
        <v>Local</v>
      </c>
      <c r="U5" s="30">
        <f t="shared" ref="U5:U23" si="9">IF(OR(D5="IT",H5&gt;6),5000,0)</f>
        <v>0</v>
      </c>
      <c r="V5" s="30">
        <f>FIND("email",J5,1)</f>
        <v>8</v>
      </c>
    </row>
    <row r="6" spans="1:22" s="30" customFormat="1" x14ac:dyDescent="0.3">
      <c r="A6" s="31" t="s">
        <v>33</v>
      </c>
      <c r="B6" s="31" t="s">
        <v>34</v>
      </c>
      <c r="C6" s="31" t="s">
        <v>34</v>
      </c>
      <c r="D6" s="31" t="s">
        <v>18</v>
      </c>
      <c r="E6" s="31" t="s">
        <v>24</v>
      </c>
      <c r="F6" s="32">
        <v>47000</v>
      </c>
      <c r="G6" s="32">
        <v>2500</v>
      </c>
      <c r="H6" s="31">
        <v>8</v>
      </c>
      <c r="I6" s="33">
        <v>44359</v>
      </c>
      <c r="J6" s="34" t="s">
        <v>35</v>
      </c>
      <c r="K6" s="34" t="b">
        <f t="shared" si="0"/>
        <v>1</v>
      </c>
      <c r="L6" s="34" t="b">
        <f t="shared" si="1"/>
        <v>0</v>
      </c>
      <c r="M6" s="34" t="b">
        <f t="shared" si="2"/>
        <v>1</v>
      </c>
      <c r="N6" s="34" t="b">
        <f t="shared" si="3"/>
        <v>0</v>
      </c>
      <c r="O6" s="34" t="b">
        <f t="shared" si="6"/>
        <v>0</v>
      </c>
      <c r="P6" s="34"/>
      <c r="Q6" s="34" t="str">
        <f t="shared" si="4"/>
        <v>Matched</v>
      </c>
      <c r="R6" s="34" t="str">
        <f t="shared" si="5"/>
        <v>less_Salary</v>
      </c>
      <c r="S6" s="34" t="str">
        <f t="shared" si="7"/>
        <v>Min</v>
      </c>
      <c r="T6" s="34" t="str">
        <f t="shared" si="8"/>
        <v>Offsite</v>
      </c>
      <c r="U6" s="30">
        <f t="shared" si="9"/>
        <v>5000</v>
      </c>
    </row>
    <row r="7" spans="1:22" s="30" customFormat="1" x14ac:dyDescent="0.3">
      <c r="A7" s="31" t="s">
        <v>69</v>
      </c>
      <c r="B7" s="31" t="s">
        <v>70</v>
      </c>
      <c r="C7" s="31" t="s">
        <v>163</v>
      </c>
      <c r="D7" s="31" t="s">
        <v>18</v>
      </c>
      <c r="E7" s="31" t="s">
        <v>24</v>
      </c>
      <c r="F7" s="32">
        <v>47000</v>
      </c>
      <c r="G7" s="32">
        <v>2600</v>
      </c>
      <c r="H7" s="31">
        <v>3</v>
      </c>
      <c r="I7" s="33">
        <v>44620</v>
      </c>
      <c r="J7" s="34" t="s">
        <v>71</v>
      </c>
      <c r="K7" s="34" t="b">
        <f t="shared" si="0"/>
        <v>1</v>
      </c>
      <c r="L7" s="34" t="b">
        <f t="shared" si="1"/>
        <v>0</v>
      </c>
      <c r="M7" s="34" t="b">
        <f t="shared" si="2"/>
        <v>0</v>
      </c>
      <c r="N7" s="34" t="b">
        <f t="shared" si="3"/>
        <v>1</v>
      </c>
      <c r="O7" s="34" t="b">
        <f t="shared" si="6"/>
        <v>0</v>
      </c>
      <c r="P7" s="34"/>
      <c r="Q7" s="34" t="str">
        <f t="shared" si="4"/>
        <v>not matched</v>
      </c>
      <c r="R7" s="34" t="str">
        <f t="shared" si="5"/>
        <v>less_Salary</v>
      </c>
      <c r="S7" s="34" t="str">
        <f t="shared" si="7"/>
        <v>Min</v>
      </c>
      <c r="T7" s="34" t="str">
        <f t="shared" si="8"/>
        <v>Local</v>
      </c>
      <c r="U7" s="30">
        <f t="shared" si="9"/>
        <v>0</v>
      </c>
      <c r="V7" s="30" t="str">
        <f>IF(FIND("h",J7,1)&gt;0,"Found","Not Found")</f>
        <v>Found</v>
      </c>
    </row>
    <row r="8" spans="1:22" s="30" customFormat="1" x14ac:dyDescent="0.3">
      <c r="A8" s="31" t="s">
        <v>16</v>
      </c>
      <c r="B8" s="31" t="s">
        <v>17</v>
      </c>
      <c r="C8" s="31" t="s">
        <v>17</v>
      </c>
      <c r="D8" s="31" t="s">
        <v>18</v>
      </c>
      <c r="E8" s="31" t="s">
        <v>19</v>
      </c>
      <c r="F8" s="32">
        <v>48000</v>
      </c>
      <c r="G8" s="32">
        <v>3000</v>
      </c>
      <c r="H8" s="31">
        <v>9</v>
      </c>
      <c r="I8" s="33">
        <v>44022</v>
      </c>
      <c r="J8" s="34" t="s">
        <v>20</v>
      </c>
      <c r="K8" s="34" t="b">
        <f t="shared" si="0"/>
        <v>1</v>
      </c>
      <c r="L8" s="34" t="b">
        <f t="shared" si="1"/>
        <v>0</v>
      </c>
      <c r="M8" s="34" t="b">
        <f t="shared" si="2"/>
        <v>1</v>
      </c>
      <c r="N8" s="34" t="b">
        <f t="shared" si="3"/>
        <v>0</v>
      </c>
      <c r="O8" s="34" t="b">
        <f t="shared" si="6"/>
        <v>0</v>
      </c>
      <c r="P8" s="34"/>
      <c r="Q8" s="34" t="str">
        <f t="shared" si="4"/>
        <v>Matched</v>
      </c>
      <c r="R8" s="34" t="str">
        <f t="shared" si="5"/>
        <v>less_Salary</v>
      </c>
      <c r="S8" s="34" t="str">
        <f t="shared" si="7"/>
        <v>Less</v>
      </c>
      <c r="T8" s="34" t="str">
        <f t="shared" si="8"/>
        <v>Offsite</v>
      </c>
      <c r="U8" s="30">
        <f t="shared" si="9"/>
        <v>5000</v>
      </c>
    </row>
    <row r="9" spans="1:22" s="30" customFormat="1" x14ac:dyDescent="0.3">
      <c r="A9" s="31" t="s">
        <v>51</v>
      </c>
      <c r="B9" s="31" t="s">
        <v>52</v>
      </c>
      <c r="C9" s="31" t="s">
        <v>52</v>
      </c>
      <c r="D9" s="31" t="s">
        <v>18</v>
      </c>
      <c r="E9" s="31" t="s">
        <v>28</v>
      </c>
      <c r="F9" s="32">
        <v>49000</v>
      </c>
      <c r="G9" s="32">
        <v>2800</v>
      </c>
      <c r="H9" s="31">
        <v>3</v>
      </c>
      <c r="I9" s="33">
        <v>44115</v>
      </c>
      <c r="J9" s="34" t="s">
        <v>53</v>
      </c>
      <c r="K9" s="34" t="b">
        <f t="shared" si="0"/>
        <v>1</v>
      </c>
      <c r="L9" s="34" t="b">
        <f t="shared" si="1"/>
        <v>0</v>
      </c>
      <c r="M9" s="34" t="b">
        <f t="shared" si="2"/>
        <v>1</v>
      </c>
      <c r="N9" s="34" t="b">
        <f t="shared" si="3"/>
        <v>0</v>
      </c>
      <c r="O9" s="34" t="b">
        <f t="shared" si="6"/>
        <v>0</v>
      </c>
      <c r="P9" s="34"/>
      <c r="Q9" s="34" t="str">
        <f t="shared" si="4"/>
        <v>Matched</v>
      </c>
      <c r="R9" s="34" t="str">
        <f t="shared" si="5"/>
        <v>less_Salary</v>
      </c>
      <c r="S9" s="34" t="str">
        <f t="shared" si="7"/>
        <v>Less</v>
      </c>
      <c r="T9" s="34" t="str">
        <f t="shared" si="8"/>
        <v>Local</v>
      </c>
      <c r="U9" s="30">
        <f t="shared" si="9"/>
        <v>0</v>
      </c>
    </row>
    <row r="10" spans="1:22" s="30" customFormat="1" x14ac:dyDescent="0.3">
      <c r="A10" s="31" t="s">
        <v>36</v>
      </c>
      <c r="B10" s="31" t="s">
        <v>37</v>
      </c>
      <c r="C10" s="31" t="s">
        <v>164</v>
      </c>
      <c r="D10" s="31" t="s">
        <v>13</v>
      </c>
      <c r="E10" s="31" t="s">
        <v>19</v>
      </c>
      <c r="F10" s="32">
        <v>51000</v>
      </c>
      <c r="G10" s="32">
        <v>4000</v>
      </c>
      <c r="H10" s="31">
        <v>4</v>
      </c>
      <c r="I10" s="33">
        <v>43886</v>
      </c>
      <c r="J10" s="34" t="s">
        <v>38</v>
      </c>
      <c r="K10" s="34" t="b">
        <f t="shared" si="0"/>
        <v>1</v>
      </c>
      <c r="L10" s="34" t="b">
        <f t="shared" si="1"/>
        <v>0</v>
      </c>
      <c r="M10" s="34" t="b">
        <f t="shared" si="2"/>
        <v>0</v>
      </c>
      <c r="N10" s="34" t="b">
        <f t="shared" si="3"/>
        <v>1</v>
      </c>
      <c r="O10" s="34" t="b">
        <f t="shared" si="6"/>
        <v>1</v>
      </c>
      <c r="P10" s="34"/>
      <c r="Q10" s="34" t="str">
        <f t="shared" si="4"/>
        <v>not matched</v>
      </c>
      <c r="R10" s="34" t="str">
        <f t="shared" si="5"/>
        <v>less_Salary</v>
      </c>
      <c r="S10" s="34" t="str">
        <f t="shared" si="7"/>
        <v>Avg</v>
      </c>
      <c r="T10" s="34" t="str">
        <f t="shared" si="8"/>
        <v>Local</v>
      </c>
      <c r="U10" s="30">
        <f t="shared" si="9"/>
        <v>0</v>
      </c>
    </row>
    <row r="11" spans="1:22" s="30" customFormat="1" x14ac:dyDescent="0.3">
      <c r="A11" s="31" t="s">
        <v>72</v>
      </c>
      <c r="B11" s="31" t="s">
        <v>73</v>
      </c>
      <c r="C11" s="31" t="s">
        <v>73</v>
      </c>
      <c r="D11" s="31" t="s">
        <v>13</v>
      </c>
      <c r="E11" s="31" t="s">
        <v>19</v>
      </c>
      <c r="F11" s="32">
        <v>52000</v>
      </c>
      <c r="G11" s="32">
        <v>3900</v>
      </c>
      <c r="H11" s="31">
        <v>4</v>
      </c>
      <c r="I11" s="33">
        <v>44329</v>
      </c>
      <c r="J11" s="34" t="s">
        <v>74</v>
      </c>
      <c r="K11" s="34" t="b">
        <f t="shared" si="0"/>
        <v>1</v>
      </c>
      <c r="L11" s="34" t="b">
        <f t="shared" si="1"/>
        <v>0</v>
      </c>
      <c r="M11" s="34" t="b">
        <f t="shared" si="2"/>
        <v>1</v>
      </c>
      <c r="N11" s="34" t="b">
        <f t="shared" si="3"/>
        <v>0</v>
      </c>
      <c r="O11" s="34" t="b">
        <f t="shared" si="6"/>
        <v>1</v>
      </c>
      <c r="P11" s="34"/>
      <c r="Q11" s="34" t="str">
        <f t="shared" si="4"/>
        <v>Matched</v>
      </c>
      <c r="R11" s="34" t="str">
        <f t="shared" si="5"/>
        <v>less_Salary</v>
      </c>
      <c r="S11" s="34" t="str">
        <f t="shared" si="7"/>
        <v>Avg</v>
      </c>
      <c r="T11" s="34" t="str">
        <f t="shared" si="8"/>
        <v>Local</v>
      </c>
      <c r="U11" s="30">
        <f t="shared" si="9"/>
        <v>0</v>
      </c>
    </row>
    <row r="12" spans="1:22" s="30" customFormat="1" x14ac:dyDescent="0.3">
      <c r="A12" s="31" t="s">
        <v>11</v>
      </c>
      <c r="B12" s="31" t="s">
        <v>12</v>
      </c>
      <c r="C12" s="31" t="s">
        <v>12</v>
      </c>
      <c r="D12" s="31" t="s">
        <v>13</v>
      </c>
      <c r="E12" s="31" t="s">
        <v>14</v>
      </c>
      <c r="F12" s="32">
        <v>52000</v>
      </c>
      <c r="G12" s="32">
        <v>5000</v>
      </c>
      <c r="H12" s="31">
        <v>4</v>
      </c>
      <c r="I12" s="33">
        <v>44270</v>
      </c>
      <c r="J12" s="34" t="s">
        <v>15</v>
      </c>
      <c r="K12" s="34" t="b">
        <f t="shared" si="0"/>
        <v>1</v>
      </c>
      <c r="L12" s="34" t="b">
        <f t="shared" si="1"/>
        <v>0</v>
      </c>
      <c r="M12" s="34" t="b">
        <f t="shared" si="2"/>
        <v>1</v>
      </c>
      <c r="N12" s="34" t="b">
        <f t="shared" si="3"/>
        <v>0</v>
      </c>
      <c r="O12" s="34" t="b">
        <f t="shared" si="6"/>
        <v>1</v>
      </c>
      <c r="P12" s="34"/>
      <c r="Q12" s="34" t="str">
        <f t="shared" si="4"/>
        <v>Matched</v>
      </c>
      <c r="R12" s="34" t="str">
        <f t="shared" si="5"/>
        <v>less_Salary</v>
      </c>
      <c r="S12" s="34" t="str">
        <f t="shared" si="7"/>
        <v>Avg</v>
      </c>
      <c r="T12" s="34" t="str">
        <f t="shared" si="8"/>
        <v>Local</v>
      </c>
      <c r="U12" s="30">
        <f t="shared" si="9"/>
        <v>0</v>
      </c>
    </row>
    <row r="13" spans="1:22" s="30" customFormat="1" x14ac:dyDescent="0.3">
      <c r="A13" s="31" t="s">
        <v>45</v>
      </c>
      <c r="B13" s="31" t="s">
        <v>46</v>
      </c>
      <c r="C13" s="31" t="s">
        <v>46</v>
      </c>
      <c r="D13" s="31" t="s">
        <v>13</v>
      </c>
      <c r="E13" s="31" t="s">
        <v>24</v>
      </c>
      <c r="F13" s="32">
        <v>53000</v>
      </c>
      <c r="G13" s="32">
        <v>4200</v>
      </c>
      <c r="H13" s="31">
        <v>10</v>
      </c>
      <c r="I13" s="33">
        <v>44531</v>
      </c>
      <c r="J13" s="34" t="s">
        <v>47</v>
      </c>
      <c r="K13" s="34" t="b">
        <f t="shared" si="0"/>
        <v>1</v>
      </c>
      <c r="L13" s="34" t="b">
        <f t="shared" si="1"/>
        <v>0</v>
      </c>
      <c r="M13" s="34" t="b">
        <f t="shared" si="2"/>
        <v>1</v>
      </c>
      <c r="N13" s="34" t="b">
        <f t="shared" si="3"/>
        <v>0</v>
      </c>
      <c r="O13" s="34" t="b">
        <f t="shared" si="6"/>
        <v>1</v>
      </c>
      <c r="P13" s="34"/>
      <c r="Q13" s="34" t="str">
        <f t="shared" si="4"/>
        <v>Matched</v>
      </c>
      <c r="R13" s="34" t="str">
        <f t="shared" si="5"/>
        <v>less_Salary</v>
      </c>
      <c r="S13" s="34" t="str">
        <f t="shared" si="7"/>
        <v>Avg</v>
      </c>
      <c r="T13" s="34" t="str">
        <f t="shared" si="8"/>
        <v>Local</v>
      </c>
      <c r="U13" s="30">
        <f t="shared" si="9"/>
        <v>5000</v>
      </c>
    </row>
    <row r="14" spans="1:22" s="30" customFormat="1" x14ac:dyDescent="0.3">
      <c r="A14" s="31" t="s">
        <v>26</v>
      </c>
      <c r="B14" s="31" t="s">
        <v>27</v>
      </c>
      <c r="C14" s="31" t="s">
        <v>27</v>
      </c>
      <c r="D14" s="31" t="s">
        <v>13</v>
      </c>
      <c r="E14" s="31" t="s">
        <v>28</v>
      </c>
      <c r="F14" s="32">
        <v>54000</v>
      </c>
      <c r="G14" s="32">
        <v>4500</v>
      </c>
      <c r="H14" s="31">
        <v>4</v>
      </c>
      <c r="I14" s="33">
        <v>44566</v>
      </c>
      <c r="J14" s="34" t="s">
        <v>29</v>
      </c>
      <c r="K14" s="34" t="b">
        <f t="shared" si="0"/>
        <v>1</v>
      </c>
      <c r="L14" s="34" t="b">
        <f t="shared" si="1"/>
        <v>0</v>
      </c>
      <c r="M14" s="34" t="b">
        <f t="shared" si="2"/>
        <v>1</v>
      </c>
      <c r="N14" s="34" t="b">
        <f t="shared" si="3"/>
        <v>0</v>
      </c>
      <c r="O14" s="34" t="b">
        <f t="shared" si="6"/>
        <v>1</v>
      </c>
      <c r="P14" s="34"/>
      <c r="Q14" s="34" t="str">
        <f t="shared" si="4"/>
        <v>Matched</v>
      </c>
      <c r="R14" s="34" t="str">
        <f t="shared" si="5"/>
        <v>less_Salary</v>
      </c>
      <c r="S14" s="34" t="str">
        <f t="shared" si="7"/>
        <v>Avg</v>
      </c>
      <c r="T14" s="34" t="str">
        <f t="shared" si="8"/>
        <v>Local</v>
      </c>
      <c r="U14" s="30">
        <f t="shared" si="9"/>
        <v>0</v>
      </c>
    </row>
    <row r="15" spans="1:22" s="30" customFormat="1" x14ac:dyDescent="0.3">
      <c r="A15" s="31" t="s">
        <v>54</v>
      </c>
      <c r="B15" s="31" t="s">
        <v>55</v>
      </c>
      <c r="C15" s="31" t="s">
        <v>55</v>
      </c>
      <c r="D15" s="31" t="s">
        <v>13</v>
      </c>
      <c r="E15" s="31" t="s">
        <v>14</v>
      </c>
      <c r="F15" s="32">
        <v>55000</v>
      </c>
      <c r="G15" s="32">
        <v>4700</v>
      </c>
      <c r="H15" s="31">
        <v>4</v>
      </c>
      <c r="I15" s="33">
        <v>43527</v>
      </c>
      <c r="J15" s="34" t="s">
        <v>56</v>
      </c>
      <c r="K15" s="34" t="b">
        <f t="shared" si="0"/>
        <v>1</v>
      </c>
      <c r="L15" s="34" t="b">
        <f t="shared" si="1"/>
        <v>0</v>
      </c>
      <c r="M15" s="34" t="b">
        <f t="shared" si="2"/>
        <v>1</v>
      </c>
      <c r="N15" s="34" t="b">
        <f t="shared" si="3"/>
        <v>0</v>
      </c>
      <c r="O15" s="34" t="b">
        <f t="shared" si="6"/>
        <v>1</v>
      </c>
      <c r="P15" s="34"/>
      <c r="Q15" s="34" t="str">
        <f t="shared" si="4"/>
        <v>Matched</v>
      </c>
      <c r="R15" s="34" t="str">
        <f t="shared" si="5"/>
        <v>less_Salary</v>
      </c>
      <c r="S15" s="34" t="str">
        <f t="shared" si="7"/>
        <v>Avg</v>
      </c>
      <c r="T15" s="34" t="str">
        <f t="shared" si="8"/>
        <v>Local</v>
      </c>
      <c r="U15" s="30">
        <f t="shared" si="9"/>
        <v>0</v>
      </c>
    </row>
    <row r="16" spans="1:22" s="30" customFormat="1" x14ac:dyDescent="0.3">
      <c r="A16" s="31" t="s">
        <v>63</v>
      </c>
      <c r="B16" s="31" t="s">
        <v>64</v>
      </c>
      <c r="C16" s="31" t="s">
        <v>165</v>
      </c>
      <c r="D16" s="31" t="s">
        <v>13</v>
      </c>
      <c r="E16" s="31" t="s">
        <v>28</v>
      </c>
      <c r="F16" s="32">
        <v>56000</v>
      </c>
      <c r="G16" s="32">
        <v>4800</v>
      </c>
      <c r="H16" s="31">
        <v>4</v>
      </c>
      <c r="I16" s="33">
        <v>43849</v>
      </c>
      <c r="J16" s="34" t="s">
        <v>65</v>
      </c>
      <c r="K16" s="34" t="b">
        <f t="shared" si="0"/>
        <v>1</v>
      </c>
      <c r="L16" s="34" t="b">
        <f t="shared" si="1"/>
        <v>1</v>
      </c>
      <c r="M16" s="34" t="b">
        <f t="shared" si="2"/>
        <v>0</v>
      </c>
      <c r="N16" s="34" t="b">
        <f t="shared" si="3"/>
        <v>1</v>
      </c>
      <c r="O16" s="34" t="b">
        <f t="shared" si="6"/>
        <v>1</v>
      </c>
      <c r="P16" s="34"/>
      <c r="Q16" s="34" t="str">
        <f t="shared" si="4"/>
        <v>not matched</v>
      </c>
      <c r="R16" s="34" t="str">
        <f t="shared" si="5"/>
        <v>high_Salary</v>
      </c>
      <c r="S16" s="34" t="str">
        <f t="shared" si="7"/>
        <v>Avg</v>
      </c>
      <c r="T16" s="34" t="str">
        <f t="shared" si="8"/>
        <v>Local</v>
      </c>
      <c r="U16" s="30">
        <f t="shared" si="9"/>
        <v>0</v>
      </c>
    </row>
    <row r="17" spans="1:21" s="30" customFormat="1" x14ac:dyDescent="0.3">
      <c r="A17" s="31" t="s">
        <v>21</v>
      </c>
      <c r="B17" s="31" t="s">
        <v>22</v>
      </c>
      <c r="C17" s="31" t="s">
        <v>22</v>
      </c>
      <c r="D17" s="31" t="s">
        <v>23</v>
      </c>
      <c r="E17" s="31" t="s">
        <v>24</v>
      </c>
      <c r="F17" s="32">
        <v>64000</v>
      </c>
      <c r="G17" s="32">
        <v>7000</v>
      </c>
      <c r="H17" s="31">
        <v>5</v>
      </c>
      <c r="I17" s="33">
        <v>43791</v>
      </c>
      <c r="J17" s="34" t="s">
        <v>25</v>
      </c>
      <c r="K17" s="34" t="b">
        <f t="shared" si="0"/>
        <v>0</v>
      </c>
      <c r="L17" s="34" t="b">
        <f t="shared" si="1"/>
        <v>1</v>
      </c>
      <c r="M17" s="34" t="b">
        <f t="shared" si="2"/>
        <v>1</v>
      </c>
      <c r="N17" s="34" t="b">
        <f t="shared" si="3"/>
        <v>0</v>
      </c>
      <c r="O17" s="34" t="b">
        <f t="shared" si="6"/>
        <v>1</v>
      </c>
      <c r="P17" s="34"/>
      <c r="Q17" s="34" t="str">
        <f t="shared" si="4"/>
        <v>Matched</v>
      </c>
      <c r="R17" s="34" t="str">
        <f t="shared" si="5"/>
        <v>high_Salary</v>
      </c>
      <c r="S17" s="34" t="str">
        <f t="shared" si="7"/>
        <v>High</v>
      </c>
      <c r="T17" s="34" t="str">
        <f t="shared" si="8"/>
        <v>Local</v>
      </c>
      <c r="U17" s="30">
        <f t="shared" si="9"/>
        <v>5000</v>
      </c>
    </row>
    <row r="18" spans="1:21" s="30" customFormat="1" x14ac:dyDescent="0.3">
      <c r="A18" s="31" t="s">
        <v>39</v>
      </c>
      <c r="B18" s="31" t="s">
        <v>40</v>
      </c>
      <c r="C18" s="31" t="s">
        <v>40</v>
      </c>
      <c r="D18" s="31" t="s">
        <v>23</v>
      </c>
      <c r="E18" s="31" t="s">
        <v>28</v>
      </c>
      <c r="F18" s="32">
        <v>63000</v>
      </c>
      <c r="G18" s="32">
        <v>6000</v>
      </c>
      <c r="H18" s="31">
        <v>5</v>
      </c>
      <c r="I18" s="33">
        <v>43707</v>
      </c>
      <c r="J18" s="34" t="s">
        <v>41</v>
      </c>
      <c r="K18" s="34" t="b">
        <f t="shared" si="0"/>
        <v>0</v>
      </c>
      <c r="L18" s="34" t="b">
        <f t="shared" si="1"/>
        <v>1</v>
      </c>
      <c r="M18" s="34" t="b">
        <f t="shared" si="2"/>
        <v>1</v>
      </c>
      <c r="N18" s="34" t="b">
        <f t="shared" si="3"/>
        <v>0</v>
      </c>
      <c r="O18" s="34" t="b">
        <f t="shared" si="6"/>
        <v>1</v>
      </c>
      <c r="P18" s="34"/>
      <c r="Q18" s="34" t="str">
        <f t="shared" si="4"/>
        <v>Matched</v>
      </c>
      <c r="R18" s="34" t="str">
        <f t="shared" si="5"/>
        <v>high_Salary</v>
      </c>
      <c r="S18" s="34" t="str">
        <f t="shared" si="7"/>
        <v>High</v>
      </c>
      <c r="T18" s="34" t="str">
        <f t="shared" si="8"/>
        <v>Local</v>
      </c>
      <c r="U18" s="30">
        <f t="shared" si="9"/>
        <v>5000</v>
      </c>
    </row>
    <row r="19" spans="1:21" s="30" customFormat="1" x14ac:dyDescent="0.3">
      <c r="A19" s="31" t="s">
        <v>66</v>
      </c>
      <c r="B19" s="31" t="s">
        <v>67</v>
      </c>
      <c r="C19" s="31" t="s">
        <v>67</v>
      </c>
      <c r="D19" s="31" t="s">
        <v>23</v>
      </c>
      <c r="E19" s="31" t="s">
        <v>14</v>
      </c>
      <c r="F19" s="32">
        <v>69000</v>
      </c>
      <c r="G19" s="32">
        <v>7100</v>
      </c>
      <c r="H19" s="31">
        <v>8</v>
      </c>
      <c r="I19" s="33">
        <v>43622</v>
      </c>
      <c r="J19" s="34" t="s">
        <v>68</v>
      </c>
      <c r="K19" s="34" t="b">
        <f t="shared" si="0"/>
        <v>0</v>
      </c>
      <c r="L19" s="34" t="b">
        <f t="shared" si="1"/>
        <v>1</v>
      </c>
      <c r="M19" s="34" t="b">
        <f t="shared" si="2"/>
        <v>1</v>
      </c>
      <c r="N19" s="34" t="b">
        <f t="shared" si="3"/>
        <v>0</v>
      </c>
      <c r="O19" s="34" t="b">
        <f t="shared" si="6"/>
        <v>1</v>
      </c>
      <c r="P19" s="34"/>
      <c r="Q19" s="34" t="str">
        <f t="shared" si="4"/>
        <v>Matched</v>
      </c>
      <c r="R19" s="34" t="str">
        <f t="shared" si="5"/>
        <v>high_Salary</v>
      </c>
      <c r="S19" s="34" t="str">
        <f t="shared" si="7"/>
        <v>Max</v>
      </c>
      <c r="T19" s="34" t="str">
        <f t="shared" si="8"/>
        <v>Local</v>
      </c>
      <c r="U19" s="30">
        <f t="shared" si="9"/>
        <v>5000</v>
      </c>
    </row>
    <row r="20" spans="1:21" s="30" customFormat="1" x14ac:dyDescent="0.3">
      <c r="A20" s="31" t="s">
        <v>48</v>
      </c>
      <c r="B20" s="31" t="s">
        <v>49</v>
      </c>
      <c r="C20" s="31" t="s">
        <v>49</v>
      </c>
      <c r="D20" s="31" t="s">
        <v>23</v>
      </c>
      <c r="E20" s="31" t="s">
        <v>19</v>
      </c>
      <c r="F20" s="32">
        <v>70000</v>
      </c>
      <c r="G20" s="32">
        <v>7500</v>
      </c>
      <c r="H20" s="31">
        <v>5</v>
      </c>
      <c r="I20" s="33">
        <v>43241</v>
      </c>
      <c r="J20" s="34" t="s">
        <v>50</v>
      </c>
      <c r="K20" s="34" t="b">
        <f t="shared" si="0"/>
        <v>0</v>
      </c>
      <c r="L20" s="34" t="b">
        <f t="shared" si="1"/>
        <v>1</v>
      </c>
      <c r="M20" s="34" t="b">
        <f t="shared" si="2"/>
        <v>1</v>
      </c>
      <c r="N20" s="34" t="b">
        <f t="shared" si="3"/>
        <v>0</v>
      </c>
      <c r="O20" s="34" t="b">
        <f t="shared" si="6"/>
        <v>1</v>
      </c>
      <c r="P20" s="34"/>
      <c r="Q20" s="34" t="str">
        <f t="shared" si="4"/>
        <v>Matched</v>
      </c>
      <c r="R20" s="34" t="str">
        <f t="shared" si="5"/>
        <v>high_Salary</v>
      </c>
      <c r="S20" s="34" t="str">
        <f t="shared" si="7"/>
        <v>Max</v>
      </c>
      <c r="T20" s="34" t="str">
        <f t="shared" si="8"/>
        <v>Local</v>
      </c>
      <c r="U20" s="30">
        <f t="shared" si="9"/>
        <v>5000</v>
      </c>
    </row>
    <row r="21" spans="1:21" s="30" customFormat="1" x14ac:dyDescent="0.3">
      <c r="A21" s="31" t="s">
        <v>75</v>
      </c>
      <c r="B21" s="31" t="s">
        <v>76</v>
      </c>
      <c r="C21" s="31" t="s">
        <v>76</v>
      </c>
      <c r="D21" s="31" t="s">
        <v>23</v>
      </c>
      <c r="E21" s="31" t="s">
        <v>28</v>
      </c>
      <c r="F21" s="32">
        <v>71000</v>
      </c>
      <c r="G21" s="32">
        <v>7800</v>
      </c>
      <c r="H21" s="31">
        <v>5</v>
      </c>
      <c r="I21" s="33">
        <v>43458</v>
      </c>
      <c r="J21" s="34" t="s">
        <v>77</v>
      </c>
      <c r="K21" s="34" t="b">
        <f t="shared" si="0"/>
        <v>0</v>
      </c>
      <c r="L21" s="34" t="b">
        <f t="shared" si="1"/>
        <v>1</v>
      </c>
      <c r="M21" s="34" t="b">
        <f t="shared" si="2"/>
        <v>1</v>
      </c>
      <c r="N21" s="34" t="b">
        <f t="shared" si="3"/>
        <v>0</v>
      </c>
      <c r="O21" s="34" t="b">
        <f t="shared" si="6"/>
        <v>1</v>
      </c>
      <c r="P21" s="34"/>
      <c r="Q21" s="34" t="str">
        <f t="shared" si="4"/>
        <v>Matched</v>
      </c>
      <c r="R21" s="34" t="str">
        <f t="shared" si="5"/>
        <v>high_Salary</v>
      </c>
      <c r="S21" s="34" t="str">
        <f t="shared" si="7"/>
        <v>Max</v>
      </c>
      <c r="T21" s="34" t="str">
        <f t="shared" si="8"/>
        <v>Local</v>
      </c>
      <c r="U21" s="30">
        <f t="shared" si="9"/>
        <v>5000</v>
      </c>
    </row>
    <row r="22" spans="1:21" s="30" customFormat="1" x14ac:dyDescent="0.3">
      <c r="A22" s="31" t="s">
        <v>30</v>
      </c>
      <c r="B22" s="31" t="s">
        <v>31</v>
      </c>
      <c r="C22" s="31" t="s">
        <v>31</v>
      </c>
      <c r="D22" s="31" t="s">
        <v>23</v>
      </c>
      <c r="E22" s="31" t="s">
        <v>14</v>
      </c>
      <c r="F22" s="32">
        <v>72000</v>
      </c>
      <c r="G22" s="32">
        <v>8000</v>
      </c>
      <c r="H22" s="31">
        <v>5</v>
      </c>
      <c r="I22" s="33">
        <v>43361</v>
      </c>
      <c r="J22" s="34" t="s">
        <v>32</v>
      </c>
      <c r="K22" s="34" t="b">
        <f t="shared" si="0"/>
        <v>0</v>
      </c>
      <c r="L22" s="34" t="b">
        <f t="shared" si="1"/>
        <v>1</v>
      </c>
      <c r="M22" s="34" t="b">
        <f t="shared" si="2"/>
        <v>1</v>
      </c>
      <c r="N22" s="34" t="b">
        <f t="shared" si="3"/>
        <v>0</v>
      </c>
      <c r="O22" s="34" t="b">
        <f t="shared" si="6"/>
        <v>1</v>
      </c>
      <c r="P22" s="34"/>
      <c r="Q22" s="34" t="str">
        <f t="shared" si="4"/>
        <v>Matched</v>
      </c>
      <c r="R22" s="34" t="str">
        <f t="shared" si="5"/>
        <v>high_Salary</v>
      </c>
      <c r="S22" s="34" t="str">
        <f t="shared" si="7"/>
        <v>Max</v>
      </c>
      <c r="T22" s="34" t="str">
        <f t="shared" si="8"/>
        <v>Local</v>
      </c>
      <c r="U22" s="30">
        <f t="shared" si="9"/>
        <v>5000</v>
      </c>
    </row>
    <row r="23" spans="1:21" s="30" customFormat="1" x14ac:dyDescent="0.3">
      <c r="A23" s="31" t="s">
        <v>57</v>
      </c>
      <c r="B23" s="31" t="s">
        <v>58</v>
      </c>
      <c r="C23" s="31" t="s">
        <v>58</v>
      </c>
      <c r="D23" s="31" t="s">
        <v>23</v>
      </c>
      <c r="E23" s="31" t="s">
        <v>24</v>
      </c>
      <c r="F23" s="32">
        <v>73000</v>
      </c>
      <c r="G23" s="32">
        <v>8200</v>
      </c>
      <c r="H23" s="31">
        <v>5</v>
      </c>
      <c r="I23" s="33">
        <v>42930</v>
      </c>
      <c r="J23" s="34" t="s">
        <v>59</v>
      </c>
      <c r="K23" s="34" t="b">
        <f t="shared" si="0"/>
        <v>0</v>
      </c>
      <c r="L23" s="34" t="b">
        <f t="shared" si="1"/>
        <v>1</v>
      </c>
      <c r="M23" s="34" t="b">
        <f t="shared" si="2"/>
        <v>1</v>
      </c>
      <c r="N23" s="34" t="b">
        <f t="shared" si="3"/>
        <v>0</v>
      </c>
      <c r="O23" s="34" t="b">
        <f t="shared" si="6"/>
        <v>1</v>
      </c>
      <c r="P23" s="34"/>
      <c r="Q23" s="34" t="str">
        <f t="shared" si="4"/>
        <v>Matched</v>
      </c>
      <c r="R23" s="34" t="str">
        <f t="shared" si="5"/>
        <v>high_Salary</v>
      </c>
      <c r="S23" s="34" t="str">
        <f t="shared" si="7"/>
        <v>Max</v>
      </c>
      <c r="T23" s="34" t="str">
        <f t="shared" si="8"/>
        <v>Local</v>
      </c>
      <c r="U23" s="30">
        <f t="shared" si="9"/>
        <v>5000</v>
      </c>
    </row>
    <row r="24" spans="1:21" x14ac:dyDescent="0.3">
      <c r="F24" s="29">
        <f>SUM(F6:F23)</f>
        <v>1046000</v>
      </c>
      <c r="G24" s="29">
        <f>SUM(G6:G23)</f>
        <v>93600</v>
      </c>
    </row>
    <row r="25" spans="1:21" x14ac:dyDescent="0.3">
      <c r="J25" s="2" t="s">
        <v>176</v>
      </c>
      <c r="K25" s="2" t="s">
        <v>177</v>
      </c>
    </row>
    <row r="26" spans="1:21" x14ac:dyDescent="0.3">
      <c r="J26" s="2" t="s">
        <v>172</v>
      </c>
      <c r="K26" s="2" t="s">
        <v>173</v>
      </c>
    </row>
    <row r="27" spans="1:21" x14ac:dyDescent="0.3">
      <c r="J27" s="2" t="s">
        <v>174</v>
      </c>
      <c r="K27" s="2" t="s">
        <v>175</v>
      </c>
    </row>
    <row r="28" spans="1:21" x14ac:dyDescent="0.3">
      <c r="J28" s="2" t="s">
        <v>178</v>
      </c>
      <c r="K28" s="2" t="s">
        <v>171</v>
      </c>
    </row>
    <row r="29" spans="1:21" x14ac:dyDescent="0.3">
      <c r="J29" s="2" t="s">
        <v>179</v>
      </c>
      <c r="K29" s="2" t="s">
        <v>180</v>
      </c>
    </row>
  </sheetData>
  <sortState ref="A2:T23">
    <sortCondition ref="F2:F23"/>
  </sortState>
  <conditionalFormatting sqref="K4:K5">
    <cfRule type="containsText" dxfId="5" priority="9" operator="containsText" text="TRUE">
      <formula>NOT(ISERROR(SEARCH("TRUE",K4)))</formula>
    </cfRule>
    <cfRule type="containsText" dxfId="4" priority="10" operator="containsText" text="FALSE">
      <formula>NOT(ISERROR(SEARCH("FALSE",K4)))</formula>
    </cfRule>
  </conditionalFormatting>
  <conditionalFormatting sqref="K6:N23 K2:N3 Q2:Q3 Q6:Q23">
    <cfRule type="containsText" dxfId="3" priority="5" operator="containsText" text="False">
      <formula>NOT(ISERROR(SEARCH("False",K2)))</formula>
    </cfRule>
    <cfRule type="containsText" dxfId="2" priority="6" operator="containsText" text="True">
      <formula>NOT(ISERROR(SEARCH("True",K2)))</formula>
    </cfRule>
  </conditionalFormatting>
  <conditionalFormatting sqref="U4:U23">
    <cfRule type="containsText" dxfId="1" priority="1" operator="containsText" text="TRUE">
      <formula>NOT(ISERROR(SEARCH("TRUE",U4)))</formula>
    </cfRule>
    <cfRule type="containsText" dxfId="0" priority="2" operator="containsText" text="FALSE">
      <formula>NOT(ISERROR(SEARCH("FALSE",U4)))</formula>
    </cfRule>
  </conditionalFormatting>
  <hyperlinks>
    <hyperlink ref="J12" r:id="rId1" display="mailto:john.smith@email.com"/>
    <hyperlink ref="J8" r:id="rId2" display="mailto:sara.khan@email.com"/>
    <hyperlink ref="J17" r:id="rId3" display="mailto:mike.j@email.com"/>
    <hyperlink ref="J14" r:id="rId4" display="mailto:emily.d@email.com"/>
    <hyperlink ref="J22" r:id="rId5" display="mailto:raj.patel@email.com"/>
    <hyperlink ref="J6" r:id="rId6" display="mailto:anna.lee@email.com"/>
    <hyperlink ref="J10" r:id="rId7" display="mailto:chris.b@email.com"/>
    <hyperlink ref="J18" r:id="rId8" display="mailto:david.w@email.com"/>
    <hyperlink ref="J5" r:id="rId9" display="mailto:lisa.t@email.com"/>
    <hyperlink ref="J13" r:id="rId10" display="mailto:tom.a@email.com"/>
    <hyperlink ref="J20" r:id="rId11" display="mailto:nina.g@email.com"/>
    <hyperlink ref="J9" r:id="rId12" display="mailto:alex.m@email.com"/>
    <hyperlink ref="J15" r:id="rId13" display="mailto:kevin.w@email.com"/>
    <hyperlink ref="J23" r:id="rId14" display="mailto:priya.s@email.com"/>
    <hyperlink ref="J4" r:id="rId15" display="mailto:daniel.c@email.com"/>
    <hyperlink ref="J16" r:id="rId16" display="mailto:sophia.l@email.com"/>
    <hyperlink ref="J19" r:id="rId17" display="mailto:james.w@email.com"/>
    <hyperlink ref="J7" r:id="rId18" display="mailto:olivia.h@email.com"/>
    <hyperlink ref="J11" r:id="rId19" display="mailto:ethan.a@email.com"/>
    <hyperlink ref="J21" r:id="rId20" display="mailto:chloe.y@email.com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</vt:lpstr>
      <vt:lpstr>hloo</vt:lpstr>
      <vt:lpstr>StringFunction</vt:lpstr>
      <vt:lpstr>Data-01</vt:lpstr>
      <vt:lpstr>Sheet2</vt:lpstr>
      <vt:lpstr>Sheet1</vt:lpstr>
      <vt:lpstr>SumIF_n_CountIf</vt:lpstr>
      <vt:lpstr>ConditionalFunctions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2026-05-08T05:36:23Z</dcterms:modified>
</cp:coreProperties>
</file>