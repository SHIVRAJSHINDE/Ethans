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9\1 Excel\Advance Formulas and Functions\"/>
    </mc:Choice>
  </mc:AlternateContent>
  <bookViews>
    <workbookView xWindow="0" yWindow="0" windowWidth="23040" windowHeight="9072" firstSheet="3" activeTab="6"/>
  </bookViews>
  <sheets>
    <sheet name="Flash Fill" sheetId="21" state="hidden" r:id="rId1"/>
    <sheet name="Text to Column" sheetId="22" r:id="rId2"/>
    <sheet name="Remove Duplicates" sheetId="23" r:id="rId3"/>
    <sheet name="Sorting" sheetId="24" r:id="rId4"/>
    <sheet name="Filtering" sheetId="29" r:id="rId5"/>
    <sheet name="Table Formatting" sheetId="26" r:id="rId6"/>
    <sheet name="Data Validation" sheetId="25" r:id="rId7"/>
    <sheet name="ConditinalFormatting" sheetId="27" r:id="rId8"/>
    <sheet name="ConditinalFormatting Formula" sheetId="32" r:id="rId9"/>
    <sheet name="IndexMatch" sheetId="30" r:id="rId10"/>
    <sheet name="Xloo" sheetId="31" r:id="rId11"/>
  </sheets>
  <definedNames>
    <definedName name="_xlnm._FilterDatabase" localSheetId="7" hidden="1">ConditinalFormatting!$A$1:$H$11</definedName>
    <definedName name="_xlnm._FilterDatabase" localSheetId="4" hidden="1">Filtering!$A$47:$F$67</definedName>
    <definedName name="_xlnm._FilterDatabase" localSheetId="3" hidden="1">Sorting!$A$1:$F$21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0" l="1"/>
  <c r="F21" i="30"/>
  <c r="E21" i="30"/>
  <c r="D21" i="30"/>
  <c r="C21" i="30"/>
  <c r="F29" i="30"/>
  <c r="E29" i="30"/>
  <c r="D29" i="30"/>
  <c r="C29" i="30"/>
  <c r="F28" i="30"/>
  <c r="E28" i="30"/>
  <c r="D28" i="30"/>
  <c r="C28" i="30"/>
  <c r="F27" i="30"/>
  <c r="E27" i="30"/>
  <c r="D27" i="30"/>
  <c r="C27" i="30"/>
  <c r="F26" i="30"/>
  <c r="E26" i="30"/>
  <c r="D26" i="30"/>
  <c r="C26" i="30"/>
  <c r="F25" i="30"/>
  <c r="E25" i="30"/>
  <c r="D25" i="30"/>
  <c r="C25" i="30"/>
  <c r="F24" i="30"/>
  <c r="E24" i="30"/>
  <c r="D24" i="30"/>
  <c r="C24" i="30"/>
  <c r="F23" i="30"/>
  <c r="E23" i="30"/>
  <c r="D23" i="30"/>
  <c r="C23" i="30"/>
  <c r="F22" i="30"/>
  <c r="E22" i="30"/>
  <c r="D22" i="30"/>
  <c r="C22" i="30"/>
  <c r="E20" i="30"/>
  <c r="D20" i="30"/>
  <c r="C20" i="30"/>
  <c r="N6" i="30"/>
  <c r="N5" i="30"/>
  <c r="M12" i="30"/>
  <c r="M11" i="30"/>
  <c r="M10" i="30"/>
  <c r="M9" i="30"/>
  <c r="M8" i="30"/>
  <c r="N8" i="30" s="1"/>
  <c r="M7" i="30"/>
  <c r="N7" i="30" s="1"/>
  <c r="M6" i="30"/>
  <c r="M5" i="30"/>
  <c r="M4" i="30"/>
  <c r="M3" i="30"/>
  <c r="L12" i="30"/>
  <c r="N12" i="30" s="1"/>
  <c r="L11" i="30"/>
  <c r="N11" i="30" s="1"/>
  <c r="L10" i="30"/>
  <c r="N10" i="30" s="1"/>
  <c r="L9" i="30"/>
  <c r="N9" i="30" s="1"/>
  <c r="L8" i="30"/>
  <c r="L7" i="30"/>
  <c r="L6" i="30"/>
  <c r="L5" i="30"/>
  <c r="L4" i="30"/>
  <c r="N4" i="30" s="1"/>
  <c r="L3" i="30"/>
  <c r="N3" i="30" s="1"/>
  <c r="I12" i="30"/>
  <c r="I5" i="30"/>
  <c r="I6" i="30"/>
  <c r="C1" i="30"/>
  <c r="D1" i="30" s="1"/>
  <c r="E1" i="30" s="1"/>
  <c r="F1" i="30" s="1"/>
  <c r="A3" i="30"/>
  <c r="A4" i="30" s="1"/>
  <c r="A5" i="30" s="1"/>
  <c r="A6" i="30" s="1"/>
  <c r="A7" i="30" s="1"/>
  <c r="A8" i="30" s="1"/>
  <c r="A9" i="30" s="1"/>
  <c r="A10" i="30" s="1"/>
  <c r="A11" i="30" s="1"/>
  <c r="A12" i="30" s="1"/>
  <c r="S6" i="30" l="1"/>
  <c r="S5" i="30"/>
  <c r="R2" i="30"/>
  <c r="G2" i="26" l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M24" i="26"/>
  <c r="M23" i="26"/>
  <c r="M22" i="26"/>
  <c r="M21" i="26"/>
  <c r="M20" i="26"/>
  <c r="M19" i="26"/>
  <c r="M18" i="26"/>
  <c r="M17" i="26"/>
  <c r="M16" i="26"/>
  <c r="M15" i="26"/>
  <c r="M14" i="26"/>
  <c r="M13" i="26"/>
  <c r="M12" i="26"/>
  <c r="M11" i="26"/>
  <c r="M10" i="26"/>
  <c r="M9" i="26"/>
  <c r="M8" i="26"/>
  <c r="M7" i="26"/>
  <c r="M6" i="26"/>
  <c r="M5" i="26"/>
  <c r="M4" i="26"/>
  <c r="M3" i="26"/>
  <c r="M2" i="26"/>
  <c r="L24" i="26"/>
  <c r="L23" i="26"/>
  <c r="L22" i="26"/>
  <c r="L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4" i="26"/>
  <c r="L3" i="26"/>
  <c r="I15" i="21"/>
  <c r="I14" i="21"/>
  <c r="I13" i="21"/>
  <c r="I12" i="21"/>
  <c r="I11" i="21"/>
  <c r="I10" i="21"/>
  <c r="H15" i="21"/>
  <c r="H14" i="21"/>
  <c r="H13" i="21"/>
  <c r="H12" i="21"/>
  <c r="H11" i="21"/>
  <c r="H10" i="21"/>
  <c r="G15" i="21"/>
  <c r="G14" i="21"/>
  <c r="G13" i="21"/>
  <c r="G12" i="21"/>
  <c r="G11" i="21"/>
  <c r="G10" i="21"/>
</calcChain>
</file>

<file path=xl/sharedStrings.xml><?xml version="1.0" encoding="utf-8"?>
<sst xmlns="http://schemas.openxmlformats.org/spreadsheetml/2006/main" count="952" uniqueCount="208">
  <si>
    <t>EmpID</t>
  </si>
  <si>
    <t>Dept</t>
  </si>
  <si>
    <t>Region</t>
  </si>
  <si>
    <t>Salary</t>
  </si>
  <si>
    <t>Sales</t>
  </si>
  <si>
    <t>East</t>
  </si>
  <si>
    <t>E002</t>
  </si>
  <si>
    <t>Sara Khan</t>
  </si>
  <si>
    <t>HR</t>
  </si>
  <si>
    <t>West</t>
  </si>
  <si>
    <t>North</t>
  </si>
  <si>
    <t>E004</t>
  </si>
  <si>
    <t>Emily Davis</t>
  </si>
  <si>
    <t>South</t>
  </si>
  <si>
    <t>E006</t>
  </si>
  <si>
    <t>Anna Lee</t>
  </si>
  <si>
    <t>E007</t>
  </si>
  <si>
    <t>Chris Brown</t>
  </si>
  <si>
    <t>E009</t>
  </si>
  <si>
    <t>Lisa Taylor</t>
  </si>
  <si>
    <t>E010</t>
  </si>
  <si>
    <t>Tom Anderson</t>
  </si>
  <si>
    <t>E012</t>
  </si>
  <si>
    <t>Alex Martinez</t>
  </si>
  <si>
    <t>E013</t>
  </si>
  <si>
    <t>Kevin White</t>
  </si>
  <si>
    <t>E015</t>
  </si>
  <si>
    <t>Daniel Clark</t>
  </si>
  <si>
    <t>E018</t>
  </si>
  <si>
    <t>Olivia Hall</t>
  </si>
  <si>
    <t>E019</t>
  </si>
  <si>
    <t>Ethan Allen</t>
  </si>
  <si>
    <t>Name1</t>
  </si>
  <si>
    <t>Number</t>
  </si>
  <si>
    <t>Date</t>
  </si>
  <si>
    <t>Day of Week</t>
  </si>
  <si>
    <t>Text Example</t>
  </si>
  <si>
    <t>Monday</t>
  </si>
  <si>
    <t>ID-101-Mon</t>
  </si>
  <si>
    <t>Tuesday</t>
  </si>
  <si>
    <t>ID-102-Tue</t>
  </si>
  <si>
    <t>Wednesday</t>
  </si>
  <si>
    <t>ID-103-Wed</t>
  </si>
  <si>
    <t>Thursday</t>
  </si>
  <si>
    <t>ID-104-Thu</t>
  </si>
  <si>
    <t>Friday</t>
  </si>
  <si>
    <t>ID-105-Fri</t>
  </si>
  <si>
    <t>Saturday</t>
  </si>
  <si>
    <t>ID-106-Sat</t>
  </si>
  <si>
    <t>Year</t>
  </si>
  <si>
    <t>Month</t>
  </si>
  <si>
    <t>Day</t>
  </si>
  <si>
    <t>last two</t>
  </si>
  <si>
    <t>ay</t>
  </si>
  <si>
    <t>id</t>
  </si>
  <si>
    <t>number</t>
  </si>
  <si>
    <t>ID</t>
  </si>
  <si>
    <t>Name</t>
  </si>
  <si>
    <t>Department</t>
  </si>
  <si>
    <t>City</t>
  </si>
  <si>
    <t>Join Date</t>
  </si>
  <si>
    <t>John</t>
  </si>
  <si>
    <t>New York</t>
  </si>
  <si>
    <t>Alice</t>
  </si>
  <si>
    <t>Chicago</t>
  </si>
  <si>
    <t>Bob</t>
  </si>
  <si>
    <t>IT</t>
  </si>
  <si>
    <t>Dallas</t>
  </si>
  <si>
    <t>Emma</t>
  </si>
  <si>
    <t>Finance</t>
  </si>
  <si>
    <t>Boston</t>
  </si>
  <si>
    <t>Liam</t>
  </si>
  <si>
    <t>Seattle</t>
  </si>
  <si>
    <t>Noah</t>
  </si>
  <si>
    <t>Miami</t>
  </si>
  <si>
    <t>Ava</t>
  </si>
  <si>
    <t>Denver</t>
  </si>
  <si>
    <t>Sophia</t>
  </si>
  <si>
    <t>Austin</t>
  </si>
  <si>
    <t>Mason</t>
  </si>
  <si>
    <t>Mia</t>
  </si>
  <si>
    <t>Ethan</t>
  </si>
  <si>
    <t>Olivia</t>
  </si>
  <si>
    <t>Lucas</t>
  </si>
  <si>
    <t>Amelia</t>
  </si>
  <si>
    <t>Logan</t>
  </si>
  <si>
    <t>Ella</t>
  </si>
  <si>
    <t>James</t>
  </si>
  <si>
    <t>Harper</t>
  </si>
  <si>
    <t>Benjamin</t>
  </si>
  <si>
    <t>Charlotte</t>
  </si>
  <si>
    <t>NUMBER</t>
  </si>
  <si>
    <t>TEXT</t>
  </si>
  <si>
    <t>START DATE</t>
  </si>
  <si>
    <t>END DATE</t>
  </si>
  <si>
    <t>DATE</t>
  </si>
  <si>
    <t>First Three</t>
  </si>
  <si>
    <t>day</t>
  </si>
  <si>
    <t>Mon</t>
  </si>
  <si>
    <t>Tue</t>
  </si>
  <si>
    <t>Wed</t>
  </si>
  <si>
    <t>Thu</t>
  </si>
  <si>
    <t>Fri</t>
  </si>
  <si>
    <t>Sat</t>
  </si>
  <si>
    <t>Last Thre</t>
  </si>
  <si>
    <t>Last ThreE</t>
  </si>
  <si>
    <t>CTRL E</t>
  </si>
  <si>
    <t>2024</t>
  </si>
  <si>
    <t>2025</t>
  </si>
  <si>
    <t>2026</t>
  </si>
  <si>
    <t>2027</t>
  </si>
  <si>
    <t>2028</t>
  </si>
  <si>
    <t>2029</t>
  </si>
  <si>
    <t>01</t>
  </si>
  <si>
    <t>02</t>
  </si>
  <si>
    <t>03</t>
  </si>
  <si>
    <t>04</t>
  </si>
  <si>
    <t>05</t>
  </si>
  <si>
    <t>06</t>
  </si>
  <si>
    <t>ALT D E</t>
  </si>
  <si>
    <t>ALT F F</t>
  </si>
  <si>
    <t>Aply Filter</t>
  </si>
  <si>
    <t>RemoveFILTER</t>
  </si>
  <si>
    <t>ALT DFS</t>
  </si>
  <si>
    <t>TABLE</t>
  </si>
  <si>
    <t>RANGE</t>
  </si>
  <si>
    <t>Name With Dept</t>
  </si>
  <si>
    <t>Confirmed</t>
  </si>
  <si>
    <t>Pending</t>
  </si>
  <si>
    <t>Hold</t>
  </si>
  <si>
    <t>Status</t>
  </si>
  <si>
    <t>Product ID</t>
  </si>
  <si>
    <t>Product Name</t>
  </si>
  <si>
    <t>HS Code</t>
  </si>
  <si>
    <t>Seller Name</t>
  </si>
  <si>
    <t>Qty Sold</t>
  </si>
  <si>
    <t>HardDisk</t>
  </si>
  <si>
    <t>AP0101</t>
  </si>
  <si>
    <t>Ram Traders</t>
  </si>
  <si>
    <t>Microphone</t>
  </si>
  <si>
    <t>AP0102</t>
  </si>
  <si>
    <t>Rajesh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</si>
  <si>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</si>
  <si>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</si>
  <si>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</si>
  <si>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</si>
  <si>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</si>
  <si>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</si>
  <si>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</si>
  <si>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</si>
  <si>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</si>
  <si>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Printer</t>
  </si>
  <si>
    <t>AP0106</t>
  </si>
  <si>
    <t>Aman</t>
  </si>
  <si>
    <t>Scanner</t>
  </si>
  <si>
    <t>AP0107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</si>
  <si>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</si>
  <si>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</si>
  <si>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</si>
  <si>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</si>
  <si>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</si>
  <si>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</si>
  <si>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</si>
  <si>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</si>
  <si>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</si>
  <si>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</si>
  <si>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t>HSN Code</t>
  </si>
  <si>
    <t>Product</t>
  </si>
  <si>
    <t>Jan</t>
  </si>
  <si>
    <t>Feb</t>
  </si>
  <si>
    <t>Mar</t>
  </si>
  <si>
    <t>Apr</t>
  </si>
  <si>
    <t>May</t>
  </si>
  <si>
    <t>Jun</t>
  </si>
  <si>
    <t>Total Sale</t>
  </si>
  <si>
    <t>XYZ001</t>
  </si>
  <si>
    <t>Microwave</t>
  </si>
  <si>
    <t>XYZ002</t>
  </si>
  <si>
    <t>Phone</t>
  </si>
  <si>
    <t>XYZ003</t>
  </si>
  <si>
    <t>Laptop</t>
  </si>
  <si>
    <t>XYZ004</t>
  </si>
  <si>
    <t>Speaker</t>
  </si>
  <si>
    <t>XYZ005</t>
  </si>
  <si>
    <t>AC</t>
  </si>
  <si>
    <t>XYZ006</t>
  </si>
  <si>
    <t>Oven</t>
  </si>
  <si>
    <t>=XLOOKUP(A16,$B$2:$B$7,$A$2:$A$7)</t>
  </si>
  <si>
    <t>=XLOOKUP(Lookup value,Lookup array,Return array)</t>
  </si>
  <si>
    <t>=INDEX(Array,RowNumber,ColumnNo)</t>
  </si>
  <si>
    <t>=MATCH(lookupValue,lookup_Arra,MathType)</t>
  </si>
  <si>
    <t>Value</t>
  </si>
  <si>
    <t>IndexNumber</t>
  </si>
  <si>
    <t>RowNumb</t>
  </si>
  <si>
    <t>ColNo</t>
  </si>
  <si>
    <t>a</t>
  </si>
  <si>
    <t>UNIQUE</t>
  </si>
  <si>
    <t>DUPLICATE</t>
  </si>
  <si>
    <t>age</t>
  </si>
  <si>
    <t>Based on Logic</t>
  </si>
  <si>
    <t>&lt;</t>
  </si>
  <si>
    <t>&gt;</t>
  </si>
  <si>
    <t>=</t>
  </si>
  <si>
    <t>contains</t>
  </si>
  <si>
    <t>Cell Values</t>
  </si>
  <si>
    <t>new york</t>
  </si>
  <si>
    <t>Using formula</t>
  </si>
  <si>
    <t>CellOnToApply = cell=Value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</si>
</sst>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0" fontId="5" fillId="0" borderId="0" xfId="0" applyFont="1" applyFill="1" applyAlignment="1">
      <alignment vertical="center"/>
    </xf>
    <xf numFmtId="14" fontId="5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4" fontId="4" fillId="0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2" borderId="0" xfId="0" applyFont="1" applyFill="1" applyAlignment="1">
      <alignment vertical="center"/>
    </xf>
    <xf numFmtId="14" fontId="6" fillId="2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1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7" fillId="2" borderId="0" xfId="0" applyFont="1" applyFill="1" applyAlignment="1"/>
    <xf numFmtId="49" fontId="0" fillId="0" borderId="1" xfId="0" applyNumberFormat="1" applyBorder="1" applyAlignment="1"/>
    <xf numFmtId="0" fontId="0" fillId="0" borderId="1" xfId="0" applyFill="1" applyBorder="1" applyAlignment="1"/>
    <xf numFmtId="0" fontId="8" fillId="2" borderId="0" xfId="0" applyFont="1" applyFill="1" applyAlignment="1"/>
    <xf numFmtId="0" fontId="1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/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14" fontId="6" fillId="0" borderId="0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14" fontId="6" fillId="0" borderId="0" xfId="0" applyNumberFormat="1" applyFont="1" applyFill="1" applyAlignment="1">
      <alignment vertical="center" wrapText="1"/>
    </xf>
    <xf numFmtId="0" fontId="9" fillId="0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vertical="center"/>
    </xf>
    <xf numFmtId="0" fontId="6" fillId="0" borderId="1" xfId="2" applyFont="1" applyFill="1" applyBorder="1" applyAlignment="1">
      <alignment vertical="center"/>
    </xf>
    <xf numFmtId="0" fontId="6" fillId="0" borderId="1" xfId="3" applyFont="1" applyFill="1" applyBorder="1" applyAlignment="1">
      <alignment vertical="center"/>
    </xf>
    <xf numFmtId="0" fontId="6" fillId="0" borderId="1" xfId="4" applyFont="1" applyFill="1" applyBorder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quotePrefix="1"/>
    <xf numFmtId="0" fontId="13" fillId="10" borderId="1" xfId="5" applyBorder="1" applyAlignment="1">
      <alignment horizontal="center" vertical="center"/>
    </xf>
    <xf numFmtId="0" fontId="0" fillId="0" borderId="0" xfId="0" quotePrefix="1" applyAlignment="1"/>
    <xf numFmtId="0" fontId="0" fillId="0" borderId="2" xfId="0" applyFill="1" applyBorder="1" applyAlignment="1">
      <alignment vertical="center"/>
    </xf>
    <xf numFmtId="0" fontId="0" fillId="0" borderId="0" xfId="0" applyAlignment="1">
      <alignment horizontal="center"/>
    </xf>
  </cellXfs>
  <cellStyles count="6">
    <cellStyle name="Accent2" xfId="5" builtinId="33"/>
    <cellStyle name="Bad" xfId="3" builtinId="27"/>
    <cellStyle name="Comma" xfId="1" builtinId="3"/>
    <cellStyle name="Good" xfId="2" builtinId="26"/>
    <cellStyle name="Neutral" xfId="4" builtinId="28"/>
    <cellStyle name="Normal" xfId="0" builtinId="0"/>
  </cellStyles>
  <dxfs count="24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4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EmpData" displayName="EmpData" ref="A1:G24" headerRowDxfId="23" dataDxfId="22">
  <autoFilter ref="A1:G24"/>
  <tableColumns count="7">
    <tableColumn id="1" name="ID" totalsRowLabel="Total" dataDxfId="21" totalsRowDxfId="20"/>
    <tableColumn id="2" name="Name" dataDxfId="19" totalsRowDxfId="18"/>
    <tableColumn id="3" name="Department" dataDxfId="17" totalsRowDxfId="16"/>
    <tableColumn id="4" name="City" dataDxfId="15" totalsRowDxfId="14"/>
    <tableColumn id="5" name="Salary" dataDxfId="13" totalsRowDxfId="12"/>
    <tableColumn id="6" name="Join Date" totalsRowFunction="count" dataDxfId="11" totalsRowDxfId="10"/>
    <tableColumn id="7" name="Name With Dept" dataDxfId="9" totalsRowDxfId="8">
      <calculatedColumnFormula>EmpData[[#This Row],[Name]]&amp;" "&amp;EmpData[[#This Row],[Department]]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D14" sqref="D14"/>
    </sheetView>
  </sheetViews>
  <sheetFormatPr defaultRowHeight="14.4" x14ac:dyDescent="0.3"/>
  <cols>
    <col min="1" max="1" width="7.88671875" style="1" bestFit="1" customWidth="1"/>
    <col min="2" max="2" width="12.109375" style="1" bestFit="1" customWidth="1"/>
    <col min="3" max="3" width="9.44140625" style="1" bestFit="1" customWidth="1"/>
    <col min="4" max="4" width="7.5546875" style="1" bestFit="1" customWidth="1"/>
    <col min="5" max="5" width="9.5546875" style="1" bestFit="1" customWidth="1"/>
    <col min="6" max="6" width="8.88671875" style="1"/>
    <col min="7" max="7" width="8.44140625" style="1" bestFit="1" customWidth="1"/>
    <col min="8" max="8" width="7.5546875" style="1" bestFit="1" customWidth="1"/>
    <col min="9" max="9" width="9.5546875" style="1" bestFit="1" customWidth="1"/>
    <col min="10" max="16384" width="8.88671875" style="1"/>
  </cols>
  <sheetData>
    <row r="1" spans="1:9" ht="15.6" x14ac:dyDescent="0.3">
      <c r="A1" s="23" t="s">
        <v>33</v>
      </c>
      <c r="B1" s="23" t="s">
        <v>34</v>
      </c>
      <c r="C1" s="24" t="s">
        <v>49</v>
      </c>
      <c r="D1" s="24" t="s">
        <v>50</v>
      </c>
      <c r="E1" s="24" t="s">
        <v>51</v>
      </c>
      <c r="I1" s="27" t="s">
        <v>106</v>
      </c>
    </row>
    <row r="2" spans="1:9" x14ac:dyDescent="0.3">
      <c r="A2" s="25">
        <v>101</v>
      </c>
      <c r="B2" s="26">
        <v>45292</v>
      </c>
      <c r="C2" s="28" t="s">
        <v>107</v>
      </c>
      <c r="D2" s="28" t="s">
        <v>113</v>
      </c>
      <c r="E2" s="28" t="s">
        <v>113</v>
      </c>
    </row>
    <row r="3" spans="1:9" x14ac:dyDescent="0.3">
      <c r="A3" s="25">
        <v>102</v>
      </c>
      <c r="B3" s="26">
        <v>45659</v>
      </c>
      <c r="C3" s="28" t="s">
        <v>108</v>
      </c>
      <c r="D3" s="28" t="s">
        <v>113</v>
      </c>
      <c r="E3" s="28" t="s">
        <v>114</v>
      </c>
    </row>
    <row r="4" spans="1:9" x14ac:dyDescent="0.3">
      <c r="A4" s="25">
        <v>103</v>
      </c>
      <c r="B4" s="26">
        <v>46025</v>
      </c>
      <c r="C4" s="28" t="s">
        <v>109</v>
      </c>
      <c r="D4" s="28" t="s">
        <v>113</v>
      </c>
      <c r="E4" s="28" t="s">
        <v>115</v>
      </c>
    </row>
    <row r="5" spans="1:9" x14ac:dyDescent="0.3">
      <c r="A5" s="25">
        <v>104</v>
      </c>
      <c r="B5" s="26">
        <v>46391</v>
      </c>
      <c r="C5" s="28" t="s">
        <v>110</v>
      </c>
      <c r="D5" s="28" t="s">
        <v>113</v>
      </c>
      <c r="E5" s="28" t="s">
        <v>116</v>
      </c>
    </row>
    <row r="6" spans="1:9" x14ac:dyDescent="0.3">
      <c r="A6" s="25">
        <v>105</v>
      </c>
      <c r="B6" s="26">
        <v>46757</v>
      </c>
      <c r="C6" s="28" t="s">
        <v>111</v>
      </c>
      <c r="D6" s="28" t="s">
        <v>113</v>
      </c>
      <c r="E6" s="28" t="s">
        <v>117</v>
      </c>
    </row>
    <row r="7" spans="1:9" x14ac:dyDescent="0.3">
      <c r="A7" s="25">
        <v>106</v>
      </c>
      <c r="B7" s="26">
        <v>47124</v>
      </c>
      <c r="C7" s="28" t="s">
        <v>112</v>
      </c>
      <c r="D7" s="28" t="s">
        <v>113</v>
      </c>
      <c r="E7" s="28" t="s">
        <v>118</v>
      </c>
    </row>
    <row r="9" spans="1:9" x14ac:dyDescent="0.3">
      <c r="A9" s="23" t="s">
        <v>33</v>
      </c>
      <c r="B9" s="23" t="s">
        <v>35</v>
      </c>
      <c r="C9" s="24" t="s">
        <v>105</v>
      </c>
      <c r="D9" s="24" t="s">
        <v>52</v>
      </c>
      <c r="E9" s="24" t="s">
        <v>96</v>
      </c>
      <c r="G9" s="24" t="s">
        <v>104</v>
      </c>
      <c r="H9" s="24" t="s">
        <v>52</v>
      </c>
      <c r="I9" s="24" t="s">
        <v>96</v>
      </c>
    </row>
    <row r="10" spans="1:9" x14ac:dyDescent="0.3">
      <c r="A10" s="25">
        <v>101</v>
      </c>
      <c r="B10" s="25" t="s">
        <v>37</v>
      </c>
      <c r="C10" s="24" t="s">
        <v>97</v>
      </c>
      <c r="D10" s="24" t="s">
        <v>53</v>
      </c>
      <c r="E10" s="24" t="s">
        <v>98</v>
      </c>
      <c r="G10" s="24" t="str">
        <f t="shared" ref="G10:G15" si="0">RIGHT(B10,3)</f>
        <v>day</v>
      </c>
      <c r="H10" s="24" t="str">
        <f t="shared" ref="H10:H15" si="1">RIGHT(B10,2)</f>
        <v>ay</v>
      </c>
      <c r="I10" s="24" t="str">
        <f t="shared" ref="I10:I15" si="2">LEFT(B10,3)</f>
        <v>Mon</v>
      </c>
    </row>
    <row r="11" spans="1:9" x14ac:dyDescent="0.3">
      <c r="A11" s="25">
        <v>102</v>
      </c>
      <c r="B11" s="25" t="s">
        <v>39</v>
      </c>
      <c r="C11" s="24" t="s">
        <v>97</v>
      </c>
      <c r="D11" s="24" t="s">
        <v>53</v>
      </c>
      <c r="E11" s="24" t="s">
        <v>99</v>
      </c>
      <c r="G11" s="24" t="str">
        <f t="shared" si="0"/>
        <v>day</v>
      </c>
      <c r="H11" s="24" t="str">
        <f t="shared" si="1"/>
        <v>ay</v>
      </c>
      <c r="I11" s="24" t="str">
        <f t="shared" si="2"/>
        <v>Tue</v>
      </c>
    </row>
    <row r="12" spans="1:9" x14ac:dyDescent="0.3">
      <c r="A12" s="25">
        <v>103</v>
      </c>
      <c r="B12" s="25" t="s">
        <v>41</v>
      </c>
      <c r="C12" s="24" t="s">
        <v>97</v>
      </c>
      <c r="D12" s="24" t="s">
        <v>53</v>
      </c>
      <c r="E12" s="24" t="s">
        <v>100</v>
      </c>
      <c r="G12" s="24" t="str">
        <f t="shared" si="0"/>
        <v>day</v>
      </c>
      <c r="H12" s="24" t="str">
        <f t="shared" si="1"/>
        <v>ay</v>
      </c>
      <c r="I12" s="24" t="str">
        <f t="shared" si="2"/>
        <v>Wed</v>
      </c>
    </row>
    <row r="13" spans="1:9" x14ac:dyDescent="0.3">
      <c r="A13" s="25">
        <v>104</v>
      </c>
      <c r="B13" s="25" t="s">
        <v>43</v>
      </c>
      <c r="C13" s="24" t="s">
        <v>97</v>
      </c>
      <c r="D13" s="24" t="s">
        <v>53</v>
      </c>
      <c r="E13" s="24" t="s">
        <v>101</v>
      </c>
      <c r="G13" s="24" t="str">
        <f t="shared" si="0"/>
        <v>day</v>
      </c>
      <c r="H13" s="24" t="str">
        <f t="shared" si="1"/>
        <v>ay</v>
      </c>
      <c r="I13" s="24" t="str">
        <f t="shared" si="2"/>
        <v>Thu</v>
      </c>
    </row>
    <row r="14" spans="1:9" x14ac:dyDescent="0.3">
      <c r="A14" s="25">
        <v>105</v>
      </c>
      <c r="B14" s="25" t="s">
        <v>45</v>
      </c>
      <c r="C14" s="24" t="s">
        <v>97</v>
      </c>
      <c r="D14" s="24" t="s">
        <v>53</v>
      </c>
      <c r="E14" s="24" t="s">
        <v>102</v>
      </c>
      <c r="G14" s="24" t="str">
        <f t="shared" si="0"/>
        <v>day</v>
      </c>
      <c r="H14" s="24" t="str">
        <f t="shared" si="1"/>
        <v>ay</v>
      </c>
      <c r="I14" s="24" t="str">
        <f t="shared" si="2"/>
        <v>Fri</v>
      </c>
    </row>
    <row r="15" spans="1:9" x14ac:dyDescent="0.3">
      <c r="A15" s="25">
        <v>106</v>
      </c>
      <c r="B15" s="25" t="s">
        <v>47</v>
      </c>
      <c r="C15" s="24" t="s">
        <v>97</v>
      </c>
      <c r="D15" s="24" t="s">
        <v>53</v>
      </c>
      <c r="E15" s="24" t="s">
        <v>103</v>
      </c>
      <c r="G15" s="24" t="str">
        <f t="shared" si="0"/>
        <v>day</v>
      </c>
      <c r="H15" s="24" t="str">
        <f t="shared" si="1"/>
        <v>ay</v>
      </c>
      <c r="I15" s="24" t="str">
        <f t="shared" si="2"/>
        <v>Sat</v>
      </c>
    </row>
    <row r="17" spans="1:5" x14ac:dyDescent="0.3">
      <c r="A17" s="23" t="s">
        <v>33</v>
      </c>
      <c r="B17" s="23" t="s">
        <v>36</v>
      </c>
      <c r="C17" s="24" t="s">
        <v>54</v>
      </c>
      <c r="D17" s="24" t="s">
        <v>55</v>
      </c>
      <c r="E17" s="29" t="s">
        <v>51</v>
      </c>
    </row>
    <row r="18" spans="1:5" x14ac:dyDescent="0.3">
      <c r="A18" s="25">
        <v>101</v>
      </c>
      <c r="B18" s="25" t="s">
        <v>38</v>
      </c>
      <c r="C18" s="24" t="s">
        <v>54</v>
      </c>
      <c r="D18" s="24">
        <v>101</v>
      </c>
      <c r="E18" s="29" t="s">
        <v>98</v>
      </c>
    </row>
    <row r="19" spans="1:5" x14ac:dyDescent="0.3">
      <c r="A19" s="25">
        <v>102</v>
      </c>
      <c r="B19" s="25" t="s">
        <v>40</v>
      </c>
      <c r="C19" s="24" t="s">
        <v>54</v>
      </c>
      <c r="D19" s="24">
        <v>102</v>
      </c>
      <c r="E19" s="29" t="s">
        <v>99</v>
      </c>
    </row>
    <row r="20" spans="1:5" x14ac:dyDescent="0.3">
      <c r="A20" s="25">
        <v>103</v>
      </c>
      <c r="B20" s="25" t="s">
        <v>42</v>
      </c>
      <c r="C20" s="24" t="s">
        <v>54</v>
      </c>
      <c r="D20" s="24">
        <v>103</v>
      </c>
      <c r="E20" s="29" t="s">
        <v>100</v>
      </c>
    </row>
    <row r="21" spans="1:5" x14ac:dyDescent="0.3">
      <c r="A21" s="25">
        <v>104</v>
      </c>
      <c r="B21" s="25" t="s">
        <v>44</v>
      </c>
      <c r="C21" s="24" t="s">
        <v>54</v>
      </c>
      <c r="D21" s="24">
        <v>104</v>
      </c>
      <c r="E21" s="29" t="s">
        <v>101</v>
      </c>
    </row>
    <row r="22" spans="1:5" x14ac:dyDescent="0.3">
      <c r="A22" s="25">
        <v>105</v>
      </c>
      <c r="B22" s="25" t="s">
        <v>46</v>
      </c>
      <c r="C22" s="24" t="s">
        <v>54</v>
      </c>
      <c r="D22" s="24">
        <v>105</v>
      </c>
      <c r="E22" s="29" t="s">
        <v>102</v>
      </c>
    </row>
    <row r="23" spans="1:5" x14ac:dyDescent="0.3">
      <c r="A23" s="25">
        <v>106</v>
      </c>
      <c r="B23" s="25" t="s">
        <v>48</v>
      </c>
      <c r="C23" s="24" t="s">
        <v>54</v>
      </c>
      <c r="D23" s="24">
        <v>106</v>
      </c>
      <c r="E23" s="29" t="s">
        <v>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"/>
  <sheetViews>
    <sheetView workbookViewId="0">
      <selection activeCell="C7" sqref="C7"/>
    </sheetView>
  </sheetViews>
  <sheetFormatPr defaultRowHeight="14.4" x14ac:dyDescent="0.3"/>
  <cols>
    <col min="1" max="1" width="8.88671875" style="1"/>
    <col min="2" max="2" width="16.21875" style="1" bestFit="1" customWidth="1"/>
    <col min="3" max="3" width="17.21875" style="1" bestFit="1" customWidth="1"/>
    <col min="4" max="4" width="18.21875" style="1" bestFit="1" customWidth="1"/>
    <col min="5" max="5" width="19.109375" style="1" bestFit="1" customWidth="1"/>
    <col min="6" max="6" width="17.44140625" style="1" bestFit="1" customWidth="1"/>
    <col min="7" max="7" width="18.5546875" style="1" bestFit="1" customWidth="1"/>
    <col min="8" max="16384" width="8.88671875" style="1"/>
  </cols>
  <sheetData>
    <row r="1" spans="3:3" ht="18" x14ac:dyDescent="0.35">
      <c r="C1" s="30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10" workbookViewId="0">
      <selection activeCell="I18" sqref="I18"/>
    </sheetView>
  </sheetViews>
  <sheetFormatPr defaultRowHeight="14.4" x14ac:dyDescent="0.3"/>
  <cols>
    <col min="1" max="1" width="6.5546875" bestFit="1" customWidth="1"/>
    <col min="2" max="2" width="12.77734375" bestFit="1" customWidth="1"/>
    <col min="3" max="3" width="5.109375" bestFit="1" customWidth="1"/>
  </cols>
  <sheetData>
    <row r="1" spans="1:3" x14ac:dyDescent="0.3">
      <c r="A1" s="3" t="s">
        <v>0</v>
      </c>
      <c r="B1" s="3" t="s">
        <v>32</v>
      </c>
      <c r="C1" s="3" t="s">
        <v>1</v>
      </c>
    </row>
    <row r="2" spans="1:3" x14ac:dyDescent="0.3">
      <c r="A2" s="2" t="s">
        <v>6</v>
      </c>
      <c r="B2" s="2" t="s">
        <v>7</v>
      </c>
      <c r="C2" s="2" t="s">
        <v>8</v>
      </c>
    </row>
    <row r="3" spans="1:3" x14ac:dyDescent="0.3">
      <c r="A3" s="2" t="s">
        <v>11</v>
      </c>
      <c r="B3" s="2" t="s">
        <v>12</v>
      </c>
      <c r="C3" s="2" t="s">
        <v>4</v>
      </c>
    </row>
    <row r="4" spans="1:3" x14ac:dyDescent="0.3">
      <c r="A4" s="31" t="s">
        <v>14</v>
      </c>
      <c r="B4" s="31" t="s">
        <v>15</v>
      </c>
      <c r="C4" s="31" t="s">
        <v>8</v>
      </c>
    </row>
    <row r="5" spans="1:3" x14ac:dyDescent="0.3">
      <c r="A5" s="31" t="s">
        <v>16</v>
      </c>
      <c r="B5" s="31" t="s">
        <v>17</v>
      </c>
      <c r="C5" s="31" t="s">
        <v>4</v>
      </c>
    </row>
    <row r="6" spans="1:3" x14ac:dyDescent="0.3">
      <c r="A6" s="2" t="s">
        <v>18</v>
      </c>
      <c r="B6" s="2" t="s">
        <v>19</v>
      </c>
      <c r="C6" s="2" t="s">
        <v>8</v>
      </c>
    </row>
    <row r="7" spans="1:3" x14ac:dyDescent="0.3">
      <c r="A7" s="2" t="s">
        <v>20</v>
      </c>
      <c r="B7" s="2" t="s">
        <v>21</v>
      </c>
      <c r="C7" s="2" t="s">
        <v>4</v>
      </c>
    </row>
    <row r="8" spans="1:3" x14ac:dyDescent="0.3">
      <c r="A8" s="2" t="s">
        <v>22</v>
      </c>
      <c r="B8" s="2" t="s">
        <v>23</v>
      </c>
      <c r="C8" s="2" t="s">
        <v>8</v>
      </c>
    </row>
    <row r="9" spans="1:3" x14ac:dyDescent="0.3">
      <c r="A9" s="2" t="s">
        <v>24</v>
      </c>
      <c r="B9" s="2" t="s">
        <v>25</v>
      </c>
      <c r="C9" s="2" t="s">
        <v>4</v>
      </c>
    </row>
    <row r="10" spans="1:3" x14ac:dyDescent="0.3">
      <c r="A10" s="2" t="s">
        <v>26</v>
      </c>
      <c r="B10" s="2" t="s">
        <v>27</v>
      </c>
      <c r="C10" s="2" t="s">
        <v>8</v>
      </c>
    </row>
    <row r="11" spans="1:3" x14ac:dyDescent="0.3">
      <c r="A11" s="2" t="s">
        <v>28</v>
      </c>
      <c r="B11" s="2" t="s">
        <v>29</v>
      </c>
      <c r="C11" s="2" t="s">
        <v>8</v>
      </c>
    </row>
    <row r="12" spans="1:3" x14ac:dyDescent="0.3">
      <c r="A12" s="2" t="s">
        <v>30</v>
      </c>
      <c r="B12" s="2" t="s">
        <v>31</v>
      </c>
      <c r="C12" s="2" t="s">
        <v>4</v>
      </c>
    </row>
    <row r="18" spans="6:10" x14ac:dyDescent="0.3">
      <c r="F18" s="3" t="s">
        <v>0</v>
      </c>
      <c r="G18" s="3" t="s">
        <v>32</v>
      </c>
      <c r="H18" s="3" t="s">
        <v>1</v>
      </c>
      <c r="I18" s="3" t="s">
        <v>2</v>
      </c>
      <c r="J18" s="4" t="s">
        <v>3</v>
      </c>
    </row>
    <row r="19" spans="6:10" x14ac:dyDescent="0.3">
      <c r="F19" s="2" t="s">
        <v>18</v>
      </c>
      <c r="G19" s="2" t="s">
        <v>19</v>
      </c>
      <c r="H19" s="2" t="s">
        <v>8</v>
      </c>
      <c r="I19" s="2" t="s">
        <v>5</v>
      </c>
      <c r="J19" s="5">
        <v>46000</v>
      </c>
    </row>
    <row r="20" spans="6:10" x14ac:dyDescent="0.3">
      <c r="F20" s="2" t="s">
        <v>26</v>
      </c>
      <c r="G20" s="2" t="s">
        <v>27</v>
      </c>
      <c r="H20" s="2" t="s">
        <v>8</v>
      </c>
      <c r="I20" s="2" t="s">
        <v>9</v>
      </c>
      <c r="J20" s="5">
        <v>45000</v>
      </c>
    </row>
    <row r="21" spans="6:10" x14ac:dyDescent="0.3">
      <c r="F21" s="2" t="s">
        <v>14</v>
      </c>
      <c r="G21" s="2" t="s">
        <v>15</v>
      </c>
      <c r="H21" s="2" t="s">
        <v>8</v>
      </c>
      <c r="I21" s="2" t="s">
        <v>10</v>
      </c>
      <c r="J21" s="5">
        <v>47000</v>
      </c>
    </row>
    <row r="22" spans="6:10" x14ac:dyDescent="0.3">
      <c r="F22" s="2" t="s">
        <v>28</v>
      </c>
      <c r="G22" s="2" t="s">
        <v>29</v>
      </c>
      <c r="H22" s="2" t="s">
        <v>8</v>
      </c>
      <c r="I22" s="2" t="s">
        <v>10</v>
      </c>
      <c r="J22" s="5">
        <v>47000</v>
      </c>
    </row>
    <row r="23" spans="6:10" x14ac:dyDescent="0.3">
      <c r="F23" s="2" t="s">
        <v>22</v>
      </c>
      <c r="G23" s="2" t="s">
        <v>23</v>
      </c>
      <c r="H23" s="2" t="s">
        <v>8</v>
      </c>
      <c r="I23" s="2" t="s">
        <v>13</v>
      </c>
      <c r="J23" s="5">
        <v>49000</v>
      </c>
    </row>
    <row r="24" spans="6:10" x14ac:dyDescent="0.3">
      <c r="F24" s="2" t="s">
        <v>14</v>
      </c>
      <c r="G24" s="2" t="s">
        <v>15</v>
      </c>
      <c r="H24" s="2" t="s">
        <v>8</v>
      </c>
      <c r="I24" s="2" t="s">
        <v>10</v>
      </c>
      <c r="J24" s="5">
        <v>47000</v>
      </c>
    </row>
    <row r="25" spans="6:10" x14ac:dyDescent="0.3">
      <c r="F25" s="2" t="s">
        <v>6</v>
      </c>
      <c r="G25" s="2" t="s">
        <v>7</v>
      </c>
      <c r="H25" s="2" t="s">
        <v>8</v>
      </c>
      <c r="I25" s="2" t="s">
        <v>9</v>
      </c>
      <c r="J25" s="5">
        <v>48000</v>
      </c>
    </row>
    <row r="26" spans="6:10" x14ac:dyDescent="0.3">
      <c r="F26" s="2" t="s">
        <v>30</v>
      </c>
      <c r="G26" s="2" t="s">
        <v>31</v>
      </c>
      <c r="H26" s="2" t="s">
        <v>4</v>
      </c>
      <c r="I26" s="2" t="s">
        <v>9</v>
      </c>
      <c r="J26" s="5">
        <v>52000</v>
      </c>
    </row>
    <row r="27" spans="6:10" x14ac:dyDescent="0.3">
      <c r="F27" s="2" t="s">
        <v>16</v>
      </c>
      <c r="G27" s="2" t="s">
        <v>17</v>
      </c>
      <c r="H27" s="2" t="s">
        <v>4</v>
      </c>
      <c r="I27" s="2" t="s">
        <v>9</v>
      </c>
      <c r="J27" s="5">
        <v>51000</v>
      </c>
    </row>
    <row r="28" spans="6:10" x14ac:dyDescent="0.3">
      <c r="F28" s="2" t="s">
        <v>20</v>
      </c>
      <c r="G28" s="2" t="s">
        <v>21</v>
      </c>
      <c r="H28" s="2" t="s">
        <v>4</v>
      </c>
      <c r="I28" s="2" t="s">
        <v>10</v>
      </c>
      <c r="J28" s="5">
        <v>53000</v>
      </c>
    </row>
    <row r="29" spans="6:10" x14ac:dyDescent="0.3">
      <c r="F29" s="2" t="s">
        <v>11</v>
      </c>
      <c r="G29" s="2" t="s">
        <v>12</v>
      </c>
      <c r="H29" s="2" t="s">
        <v>4</v>
      </c>
      <c r="I29" s="2" t="s">
        <v>13</v>
      </c>
      <c r="J29" s="5">
        <v>54000</v>
      </c>
    </row>
    <row r="30" spans="6:10" x14ac:dyDescent="0.3">
      <c r="F30" s="2" t="s">
        <v>16</v>
      </c>
      <c r="G30" s="2" t="s">
        <v>17</v>
      </c>
      <c r="H30" s="2" t="s">
        <v>4</v>
      </c>
      <c r="I30" s="2" t="s">
        <v>9</v>
      </c>
      <c r="J30" s="5">
        <v>51000</v>
      </c>
    </row>
    <row r="31" spans="6:10" x14ac:dyDescent="0.3">
      <c r="F31" s="2" t="s">
        <v>24</v>
      </c>
      <c r="G31" s="2" t="s">
        <v>25</v>
      </c>
      <c r="H31" s="2" t="s">
        <v>4</v>
      </c>
      <c r="I31" s="2" t="s">
        <v>5</v>
      </c>
      <c r="J31" s="5">
        <v>55000</v>
      </c>
    </row>
  </sheetData>
  <sortState ref="A2:C13">
    <sortCondition ref="A2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8" workbookViewId="0">
      <selection sqref="A1:F21"/>
    </sheetView>
  </sheetViews>
  <sheetFormatPr defaultRowHeight="14.4" x14ac:dyDescent="0.3"/>
  <cols>
    <col min="1" max="1" width="4" style="1" bestFit="1" customWidth="1"/>
    <col min="2" max="3" width="11.109375" style="1" bestFit="1" customWidth="1"/>
    <col min="4" max="4" width="9" style="1" bestFit="1" customWidth="1"/>
    <col min="5" max="5" width="6.109375" style="1" bestFit="1" customWidth="1"/>
    <col min="6" max="6" width="10.33203125" style="1" bestFit="1" customWidth="1"/>
    <col min="7" max="8" width="8.88671875" style="1"/>
    <col min="9" max="9" width="4" style="1" bestFit="1" customWidth="1"/>
    <col min="10" max="10" width="9" style="1" bestFit="1" customWidth="1"/>
    <col min="11" max="11" width="8.33203125" style="1" bestFit="1" customWidth="1"/>
    <col min="12" max="16384" width="8.88671875" style="1"/>
  </cols>
  <sheetData>
    <row r="1" spans="1:6" x14ac:dyDescent="0.3">
      <c r="A1" s="32" t="s">
        <v>56</v>
      </c>
      <c r="B1" s="32" t="s">
        <v>58</v>
      </c>
      <c r="C1" s="32" t="s">
        <v>59</v>
      </c>
      <c r="D1" s="32" t="s">
        <v>57</v>
      </c>
      <c r="E1" s="32" t="s">
        <v>3</v>
      </c>
      <c r="F1" s="32" t="s">
        <v>60</v>
      </c>
    </row>
    <row r="2" spans="1:6" x14ac:dyDescent="0.3">
      <c r="A2" s="33">
        <v>101</v>
      </c>
      <c r="B2" s="33" t="s">
        <v>4</v>
      </c>
      <c r="C2" s="33" t="s">
        <v>62</v>
      </c>
      <c r="D2" s="33" t="s">
        <v>61</v>
      </c>
      <c r="E2" s="33">
        <v>50000</v>
      </c>
      <c r="F2" s="34">
        <v>44573</v>
      </c>
    </row>
    <row r="3" spans="1:6" x14ac:dyDescent="0.3">
      <c r="A3" s="33">
        <v>102</v>
      </c>
      <c r="B3" s="33" t="s">
        <v>8</v>
      </c>
      <c r="C3" s="33" t="s">
        <v>64</v>
      </c>
      <c r="D3" s="33" t="s">
        <v>63</v>
      </c>
      <c r="E3" s="33">
        <v>60000</v>
      </c>
      <c r="F3" s="34">
        <v>44270</v>
      </c>
    </row>
    <row r="4" spans="1:6" x14ac:dyDescent="0.3">
      <c r="A4" s="33">
        <v>103</v>
      </c>
      <c r="B4" s="33" t="s">
        <v>66</v>
      </c>
      <c r="C4" s="33" t="s">
        <v>67</v>
      </c>
      <c r="D4" s="33" t="s">
        <v>65</v>
      </c>
      <c r="E4" s="33">
        <v>75000</v>
      </c>
      <c r="F4" s="34">
        <v>44032</v>
      </c>
    </row>
    <row r="5" spans="1:6" x14ac:dyDescent="0.3">
      <c r="A5" s="33">
        <v>104</v>
      </c>
      <c r="B5" s="33" t="s">
        <v>69</v>
      </c>
      <c r="C5" s="33" t="s">
        <v>70</v>
      </c>
      <c r="D5" s="33" t="s">
        <v>68</v>
      </c>
      <c r="E5" s="33">
        <v>65000</v>
      </c>
      <c r="F5" s="34">
        <v>44967</v>
      </c>
    </row>
    <row r="6" spans="1:6" x14ac:dyDescent="0.3">
      <c r="A6" s="33">
        <v>105</v>
      </c>
      <c r="B6" s="33" t="s">
        <v>66</v>
      </c>
      <c r="C6" s="33" t="s">
        <v>72</v>
      </c>
      <c r="D6" s="33" t="s">
        <v>71</v>
      </c>
      <c r="E6" s="33">
        <v>72000</v>
      </c>
      <c r="F6" s="34">
        <v>44699</v>
      </c>
    </row>
    <row r="7" spans="1:6" x14ac:dyDescent="0.3">
      <c r="A7" s="33">
        <v>106</v>
      </c>
      <c r="B7" s="33" t="s">
        <v>4</v>
      </c>
      <c r="C7" s="33" t="s">
        <v>74</v>
      </c>
      <c r="D7" s="33" t="s">
        <v>73</v>
      </c>
      <c r="E7" s="33">
        <v>48000</v>
      </c>
      <c r="F7" s="34">
        <v>44433</v>
      </c>
    </row>
    <row r="8" spans="1:6" x14ac:dyDescent="0.3">
      <c r="A8" s="33">
        <v>107</v>
      </c>
      <c r="B8" s="33" t="s">
        <v>8</v>
      </c>
      <c r="C8" s="33" t="s">
        <v>76</v>
      </c>
      <c r="D8" s="33" t="s">
        <v>75</v>
      </c>
      <c r="E8" s="33">
        <v>61000</v>
      </c>
      <c r="F8" s="34">
        <v>44165</v>
      </c>
    </row>
    <row r="9" spans="1:6" x14ac:dyDescent="0.3">
      <c r="A9" s="33">
        <v>108</v>
      </c>
      <c r="B9" s="33" t="s">
        <v>69</v>
      </c>
      <c r="C9" s="33" t="s">
        <v>78</v>
      </c>
      <c r="D9" s="33" t="s">
        <v>77</v>
      </c>
      <c r="E9" s="33">
        <v>67000</v>
      </c>
      <c r="F9" s="34">
        <v>44809</v>
      </c>
    </row>
    <row r="10" spans="1:6" x14ac:dyDescent="0.3">
      <c r="A10" s="33">
        <v>109</v>
      </c>
      <c r="B10" s="33" t="s">
        <v>66</v>
      </c>
      <c r="C10" s="33" t="s">
        <v>67</v>
      </c>
      <c r="D10" s="33" t="s">
        <v>79</v>
      </c>
      <c r="E10" s="33">
        <v>80000</v>
      </c>
      <c r="F10" s="34">
        <v>43811</v>
      </c>
    </row>
    <row r="11" spans="1:6" x14ac:dyDescent="0.3">
      <c r="A11" s="33">
        <v>110</v>
      </c>
      <c r="B11" s="33" t="s">
        <v>4</v>
      </c>
      <c r="C11" s="33" t="s">
        <v>64</v>
      </c>
      <c r="D11" s="33" t="s">
        <v>80</v>
      </c>
      <c r="E11" s="33">
        <v>52000</v>
      </c>
      <c r="F11" s="34">
        <v>45017</v>
      </c>
    </row>
    <row r="12" spans="1:6" x14ac:dyDescent="0.3">
      <c r="A12" s="33">
        <v>111</v>
      </c>
      <c r="B12" s="33" t="s">
        <v>66</v>
      </c>
      <c r="C12" s="33" t="s">
        <v>72</v>
      </c>
      <c r="D12" s="33" t="s">
        <v>81</v>
      </c>
      <c r="E12" s="33">
        <v>77000</v>
      </c>
      <c r="F12" s="34">
        <v>44361</v>
      </c>
    </row>
    <row r="13" spans="1:6" x14ac:dyDescent="0.3">
      <c r="A13" s="33">
        <v>112</v>
      </c>
      <c r="B13" s="33" t="s">
        <v>8</v>
      </c>
      <c r="C13" s="33" t="s">
        <v>70</v>
      </c>
      <c r="D13" s="33" t="s">
        <v>82</v>
      </c>
      <c r="E13" s="33">
        <v>59000</v>
      </c>
      <c r="F13" s="34">
        <v>44856</v>
      </c>
    </row>
    <row r="14" spans="1:6" x14ac:dyDescent="0.3">
      <c r="A14" s="33">
        <v>113</v>
      </c>
      <c r="B14" s="33" t="s">
        <v>69</v>
      </c>
      <c r="C14" s="33" t="s">
        <v>74</v>
      </c>
      <c r="D14" s="33" t="s">
        <v>83</v>
      </c>
      <c r="E14" s="33">
        <v>68000</v>
      </c>
      <c r="F14" s="34">
        <v>43893</v>
      </c>
    </row>
    <row r="15" spans="1:6" x14ac:dyDescent="0.3">
      <c r="A15" s="33">
        <v>114</v>
      </c>
      <c r="B15" s="33" t="s">
        <v>4</v>
      </c>
      <c r="C15" s="33" t="s">
        <v>76</v>
      </c>
      <c r="D15" s="33" t="s">
        <v>84</v>
      </c>
      <c r="E15" s="33">
        <v>53000</v>
      </c>
      <c r="F15" s="34">
        <v>45126</v>
      </c>
    </row>
    <row r="16" spans="1:6" x14ac:dyDescent="0.3">
      <c r="A16" s="33">
        <v>115</v>
      </c>
      <c r="B16" s="33" t="s">
        <v>66</v>
      </c>
      <c r="C16" s="33" t="s">
        <v>78</v>
      </c>
      <c r="D16" s="33" t="s">
        <v>85</v>
      </c>
      <c r="E16" s="33">
        <v>81000</v>
      </c>
      <c r="F16" s="34">
        <v>44223</v>
      </c>
    </row>
    <row r="17" spans="1:6" x14ac:dyDescent="0.3">
      <c r="A17" s="33">
        <v>116</v>
      </c>
      <c r="B17" s="33" t="s">
        <v>8</v>
      </c>
      <c r="C17" s="33" t="s">
        <v>62</v>
      </c>
      <c r="D17" s="33" t="s">
        <v>86</v>
      </c>
      <c r="E17" s="33">
        <v>62000</v>
      </c>
      <c r="F17" s="34">
        <v>44781</v>
      </c>
    </row>
    <row r="18" spans="1:6" x14ac:dyDescent="0.3">
      <c r="A18" s="33">
        <v>117</v>
      </c>
      <c r="B18" s="33" t="s">
        <v>69</v>
      </c>
      <c r="C18" s="33" t="s">
        <v>64</v>
      </c>
      <c r="D18" s="33" t="s">
        <v>87</v>
      </c>
      <c r="E18" s="33">
        <v>70000</v>
      </c>
      <c r="F18" s="34">
        <v>43967</v>
      </c>
    </row>
    <row r="19" spans="1:6" x14ac:dyDescent="0.3">
      <c r="A19" s="33">
        <v>118</v>
      </c>
      <c r="B19" s="33" t="s">
        <v>4</v>
      </c>
      <c r="C19" s="33" t="s">
        <v>67</v>
      </c>
      <c r="D19" s="33" t="s">
        <v>88</v>
      </c>
      <c r="E19" s="33">
        <v>51000</v>
      </c>
      <c r="F19" s="34">
        <v>44511</v>
      </c>
    </row>
    <row r="20" spans="1:6" x14ac:dyDescent="0.3">
      <c r="A20" s="33">
        <v>119</v>
      </c>
      <c r="B20" s="33" t="s">
        <v>66</v>
      </c>
      <c r="C20" s="33" t="s">
        <v>70</v>
      </c>
      <c r="D20" s="33" t="s">
        <v>89</v>
      </c>
      <c r="E20" s="33">
        <v>79000</v>
      </c>
      <c r="F20" s="34">
        <v>44978</v>
      </c>
    </row>
    <row r="21" spans="1:6" x14ac:dyDescent="0.3">
      <c r="A21" s="33">
        <v>120</v>
      </c>
      <c r="B21" s="33" t="s">
        <v>8</v>
      </c>
      <c r="C21" s="33" t="s">
        <v>72</v>
      </c>
      <c r="D21" s="33" t="s">
        <v>90</v>
      </c>
      <c r="E21" s="33">
        <v>63000</v>
      </c>
      <c r="F21" s="34">
        <v>44083</v>
      </c>
    </row>
    <row r="24" spans="1:6" x14ac:dyDescent="0.3">
      <c r="A24" s="32" t="s">
        <v>56</v>
      </c>
      <c r="B24" s="32" t="s">
        <v>57</v>
      </c>
      <c r="C24" s="32" t="s">
        <v>58</v>
      </c>
      <c r="D24" s="32" t="s">
        <v>59</v>
      </c>
      <c r="E24" s="32" t="s">
        <v>3</v>
      </c>
      <c r="F24" s="32" t="s">
        <v>60</v>
      </c>
    </row>
    <row r="25" spans="1:6" x14ac:dyDescent="0.3">
      <c r="A25" s="10">
        <v>120</v>
      </c>
      <c r="B25" s="10" t="s">
        <v>90</v>
      </c>
      <c r="C25" s="10" t="s">
        <v>8</v>
      </c>
      <c r="D25" s="10" t="s">
        <v>72</v>
      </c>
      <c r="E25" s="10">
        <v>63000</v>
      </c>
      <c r="F25" s="11">
        <v>44083</v>
      </c>
    </row>
    <row r="26" spans="1:6" x14ac:dyDescent="0.3">
      <c r="A26" s="10">
        <v>119</v>
      </c>
      <c r="B26" s="10" t="s">
        <v>89</v>
      </c>
      <c r="C26" s="10" t="s">
        <v>66</v>
      </c>
      <c r="D26" s="10" t="s">
        <v>70</v>
      </c>
      <c r="E26" s="10">
        <v>79000</v>
      </c>
      <c r="F26" s="11">
        <v>44978</v>
      </c>
    </row>
    <row r="27" spans="1:6" x14ac:dyDescent="0.3">
      <c r="A27" s="14">
        <v>112</v>
      </c>
      <c r="B27" s="14" t="s">
        <v>82</v>
      </c>
      <c r="C27" s="14" t="s">
        <v>8</v>
      </c>
      <c r="D27" s="14" t="s">
        <v>70</v>
      </c>
      <c r="E27" s="14">
        <v>59000</v>
      </c>
      <c r="F27" s="15">
        <v>44856</v>
      </c>
    </row>
    <row r="28" spans="1:6" x14ac:dyDescent="0.3">
      <c r="A28" s="14">
        <v>111</v>
      </c>
      <c r="B28" s="14" t="s">
        <v>81</v>
      </c>
      <c r="C28" s="14" t="s">
        <v>66</v>
      </c>
      <c r="D28" s="14" t="s">
        <v>72</v>
      </c>
      <c r="E28" s="14">
        <v>77000</v>
      </c>
      <c r="F28" s="15">
        <v>44361</v>
      </c>
    </row>
    <row r="29" spans="1:6" x14ac:dyDescent="0.3">
      <c r="A29" s="12">
        <v>118</v>
      </c>
      <c r="B29" s="12" t="s">
        <v>88</v>
      </c>
      <c r="C29" s="12" t="s">
        <v>4</v>
      </c>
      <c r="D29" s="12" t="s">
        <v>67</v>
      </c>
      <c r="E29" s="12">
        <v>51000</v>
      </c>
      <c r="F29" s="13">
        <v>44511</v>
      </c>
    </row>
    <row r="30" spans="1:6" x14ac:dyDescent="0.3">
      <c r="A30" s="12">
        <v>117</v>
      </c>
      <c r="B30" s="12" t="s">
        <v>87</v>
      </c>
      <c r="C30" s="12" t="s">
        <v>69</v>
      </c>
      <c r="D30" s="12" t="s">
        <v>64</v>
      </c>
      <c r="E30" s="12">
        <v>70000</v>
      </c>
      <c r="F30" s="13">
        <v>43967</v>
      </c>
    </row>
    <row r="31" spans="1:6" x14ac:dyDescent="0.3">
      <c r="A31" s="12">
        <v>116</v>
      </c>
      <c r="B31" s="12" t="s">
        <v>86</v>
      </c>
      <c r="C31" s="12" t="s">
        <v>8</v>
      </c>
      <c r="D31" s="12" t="s">
        <v>62</v>
      </c>
      <c r="E31" s="12">
        <v>62000</v>
      </c>
      <c r="F31" s="13">
        <v>44781</v>
      </c>
    </row>
    <row r="32" spans="1:6" x14ac:dyDescent="0.3">
      <c r="A32" s="12">
        <v>115</v>
      </c>
      <c r="B32" s="12" t="s">
        <v>85</v>
      </c>
      <c r="C32" s="12" t="s">
        <v>66</v>
      </c>
      <c r="D32" s="12" t="s">
        <v>78</v>
      </c>
      <c r="E32" s="12">
        <v>81000</v>
      </c>
      <c r="F32" s="13">
        <v>44223</v>
      </c>
    </row>
    <row r="33" spans="1:6" x14ac:dyDescent="0.3">
      <c r="A33" s="12">
        <v>114</v>
      </c>
      <c r="B33" s="12" t="s">
        <v>84</v>
      </c>
      <c r="C33" s="12" t="s">
        <v>4</v>
      </c>
      <c r="D33" s="12" t="s">
        <v>76</v>
      </c>
      <c r="E33" s="12">
        <v>53000</v>
      </c>
      <c r="F33" s="13">
        <v>45126</v>
      </c>
    </row>
    <row r="34" spans="1:6" x14ac:dyDescent="0.3">
      <c r="A34" s="12">
        <v>113</v>
      </c>
      <c r="B34" s="12" t="s">
        <v>83</v>
      </c>
      <c r="C34" s="12" t="s">
        <v>69</v>
      </c>
      <c r="D34" s="12" t="s">
        <v>74</v>
      </c>
      <c r="E34" s="12">
        <v>68000</v>
      </c>
      <c r="F34" s="13">
        <v>43893</v>
      </c>
    </row>
    <row r="35" spans="1:6" x14ac:dyDescent="0.3">
      <c r="A35" s="12">
        <v>110</v>
      </c>
      <c r="B35" s="12" t="s">
        <v>80</v>
      </c>
      <c r="C35" s="12" t="s">
        <v>4</v>
      </c>
      <c r="D35" s="12" t="s">
        <v>64</v>
      </c>
      <c r="E35" s="12">
        <v>52000</v>
      </c>
      <c r="F35" s="13">
        <v>45017</v>
      </c>
    </row>
    <row r="36" spans="1:6" x14ac:dyDescent="0.3">
      <c r="A36" s="12">
        <v>109</v>
      </c>
      <c r="B36" s="12" t="s">
        <v>79</v>
      </c>
      <c r="C36" s="12" t="s">
        <v>66</v>
      </c>
      <c r="D36" s="12" t="s">
        <v>67</v>
      </c>
      <c r="E36" s="12">
        <v>80000</v>
      </c>
      <c r="F36" s="13">
        <v>43811</v>
      </c>
    </row>
    <row r="37" spans="1:6" x14ac:dyDescent="0.3">
      <c r="A37" s="12">
        <v>108</v>
      </c>
      <c r="B37" s="12" t="s">
        <v>77</v>
      </c>
      <c r="C37" s="12" t="s">
        <v>69</v>
      </c>
      <c r="D37" s="12" t="s">
        <v>78</v>
      </c>
      <c r="E37" s="12">
        <v>67000</v>
      </c>
      <c r="F37" s="13">
        <v>44809</v>
      </c>
    </row>
    <row r="38" spans="1:6" x14ac:dyDescent="0.3">
      <c r="A38" s="12">
        <v>107</v>
      </c>
      <c r="B38" s="12" t="s">
        <v>75</v>
      </c>
      <c r="C38" s="12" t="s">
        <v>8</v>
      </c>
      <c r="D38" s="12" t="s">
        <v>76</v>
      </c>
      <c r="E38" s="12">
        <v>61000</v>
      </c>
      <c r="F38" s="13">
        <v>44165</v>
      </c>
    </row>
    <row r="39" spans="1:6" x14ac:dyDescent="0.3">
      <c r="A39" s="12">
        <v>106</v>
      </c>
      <c r="B39" s="12" t="s">
        <v>73</v>
      </c>
      <c r="C39" s="12" t="s">
        <v>4</v>
      </c>
      <c r="D39" s="12" t="s">
        <v>74</v>
      </c>
      <c r="E39" s="12">
        <v>48000</v>
      </c>
      <c r="F39" s="13">
        <v>44433</v>
      </c>
    </row>
    <row r="40" spans="1:6" x14ac:dyDescent="0.3">
      <c r="A40" s="12">
        <v>105</v>
      </c>
      <c r="B40" s="12" t="s">
        <v>71</v>
      </c>
      <c r="C40" s="12" t="s">
        <v>66</v>
      </c>
      <c r="D40" s="12" t="s">
        <v>72</v>
      </c>
      <c r="E40" s="12">
        <v>72000</v>
      </c>
      <c r="F40" s="13">
        <v>44699</v>
      </c>
    </row>
    <row r="41" spans="1:6" x14ac:dyDescent="0.3">
      <c r="A41" s="12">
        <v>104</v>
      </c>
      <c r="B41" s="12" t="s">
        <v>68</v>
      </c>
      <c r="C41" s="12" t="s">
        <v>69</v>
      </c>
      <c r="D41" s="12" t="s">
        <v>70</v>
      </c>
      <c r="E41" s="12">
        <v>65000</v>
      </c>
      <c r="F41" s="13">
        <v>44967</v>
      </c>
    </row>
    <row r="42" spans="1:6" x14ac:dyDescent="0.3">
      <c r="A42" s="12">
        <v>103</v>
      </c>
      <c r="B42" s="12" t="s">
        <v>65</v>
      </c>
      <c r="C42" s="12" t="s">
        <v>66</v>
      </c>
      <c r="D42" s="12" t="s">
        <v>67</v>
      </c>
      <c r="E42" s="12">
        <v>75000</v>
      </c>
      <c r="F42" s="13">
        <v>44032</v>
      </c>
    </row>
    <row r="43" spans="1:6" x14ac:dyDescent="0.3">
      <c r="A43" s="12">
        <v>102</v>
      </c>
      <c r="B43" s="12" t="s">
        <v>63</v>
      </c>
      <c r="C43" s="12" t="s">
        <v>8</v>
      </c>
      <c r="D43" s="12" t="s">
        <v>64</v>
      </c>
      <c r="E43" s="12">
        <v>60000</v>
      </c>
      <c r="F43" s="13">
        <v>44270</v>
      </c>
    </row>
    <row r="44" spans="1:6" x14ac:dyDescent="0.3">
      <c r="A44" s="12">
        <v>101</v>
      </c>
      <c r="B44" s="12" t="s">
        <v>61</v>
      </c>
      <c r="C44" s="12" t="s">
        <v>4</v>
      </c>
      <c r="D44" s="12" t="s">
        <v>62</v>
      </c>
      <c r="E44" s="12">
        <v>50000</v>
      </c>
      <c r="F44" s="13">
        <v>44573</v>
      </c>
    </row>
    <row r="47" spans="1:6" x14ac:dyDescent="0.3">
      <c r="A47" s="32" t="s">
        <v>56</v>
      </c>
      <c r="B47" s="32" t="s">
        <v>57</v>
      </c>
      <c r="C47" s="32" t="s">
        <v>58</v>
      </c>
      <c r="D47" s="32" t="s">
        <v>59</v>
      </c>
      <c r="E47" s="32" t="s">
        <v>3</v>
      </c>
      <c r="F47" s="32" t="s">
        <v>60</v>
      </c>
    </row>
    <row r="48" spans="1:6" x14ac:dyDescent="0.3">
      <c r="A48" s="16">
        <v>120</v>
      </c>
      <c r="B48" s="16" t="s">
        <v>90</v>
      </c>
      <c r="C48" s="16" t="s">
        <v>8</v>
      </c>
      <c r="D48" s="16" t="s">
        <v>72</v>
      </c>
      <c r="E48" s="16">
        <v>63000</v>
      </c>
      <c r="F48" s="17">
        <v>44083</v>
      </c>
    </row>
    <row r="49" spans="1:6" x14ac:dyDescent="0.3">
      <c r="A49" s="16">
        <v>119</v>
      </c>
      <c r="B49" s="16" t="s">
        <v>89</v>
      </c>
      <c r="C49" s="16" t="s">
        <v>66</v>
      </c>
      <c r="D49" s="16" t="s">
        <v>70</v>
      </c>
      <c r="E49" s="16">
        <v>79000</v>
      </c>
      <c r="F49" s="17">
        <v>44978</v>
      </c>
    </row>
    <row r="50" spans="1:6" x14ac:dyDescent="0.3">
      <c r="A50" s="16">
        <v>118</v>
      </c>
      <c r="B50" s="16" t="s">
        <v>88</v>
      </c>
      <c r="C50" s="16" t="s">
        <v>4</v>
      </c>
      <c r="D50" s="16" t="s">
        <v>67</v>
      </c>
      <c r="E50" s="16">
        <v>51000</v>
      </c>
      <c r="F50" s="17">
        <v>44511</v>
      </c>
    </row>
    <row r="51" spans="1:6" x14ac:dyDescent="0.3">
      <c r="A51" s="16">
        <v>117</v>
      </c>
      <c r="B51" s="16" t="s">
        <v>87</v>
      </c>
      <c r="C51" s="16" t="s">
        <v>69</v>
      </c>
      <c r="D51" s="16" t="s">
        <v>64</v>
      </c>
      <c r="E51" s="16">
        <v>70000</v>
      </c>
      <c r="F51" s="17">
        <v>43967</v>
      </c>
    </row>
    <row r="52" spans="1:6" x14ac:dyDescent="0.3">
      <c r="A52" s="16">
        <v>115</v>
      </c>
      <c r="B52" s="16" t="s">
        <v>85</v>
      </c>
      <c r="C52" s="16" t="s">
        <v>66</v>
      </c>
      <c r="D52" s="16" t="s">
        <v>78</v>
      </c>
      <c r="E52" s="16">
        <v>81000</v>
      </c>
      <c r="F52" s="17">
        <v>44223</v>
      </c>
    </row>
    <row r="53" spans="1:6" x14ac:dyDescent="0.3">
      <c r="A53" s="16">
        <v>113</v>
      </c>
      <c r="B53" s="16" t="s">
        <v>83</v>
      </c>
      <c r="C53" s="16" t="s">
        <v>69</v>
      </c>
      <c r="D53" s="16" t="s">
        <v>74</v>
      </c>
      <c r="E53" s="16">
        <v>68000</v>
      </c>
      <c r="F53" s="17">
        <v>43893</v>
      </c>
    </row>
    <row r="54" spans="1:6" x14ac:dyDescent="0.3">
      <c r="A54" s="16">
        <v>109</v>
      </c>
      <c r="B54" s="16" t="s">
        <v>79</v>
      </c>
      <c r="C54" s="16" t="s">
        <v>66</v>
      </c>
      <c r="D54" s="16" t="s">
        <v>67</v>
      </c>
      <c r="E54" s="16">
        <v>80000</v>
      </c>
      <c r="F54" s="17">
        <v>43811</v>
      </c>
    </row>
    <row r="55" spans="1:6" x14ac:dyDescent="0.3">
      <c r="A55" s="16">
        <v>107</v>
      </c>
      <c r="B55" s="16" t="s">
        <v>75</v>
      </c>
      <c r="C55" s="16" t="s">
        <v>8</v>
      </c>
      <c r="D55" s="16" t="s">
        <v>76</v>
      </c>
      <c r="E55" s="16">
        <v>61000</v>
      </c>
      <c r="F55" s="17">
        <v>44165</v>
      </c>
    </row>
    <row r="56" spans="1:6" x14ac:dyDescent="0.3">
      <c r="A56" s="16">
        <v>106</v>
      </c>
      <c r="B56" s="16" t="s">
        <v>73</v>
      </c>
      <c r="C56" s="16" t="s">
        <v>4</v>
      </c>
      <c r="D56" s="16" t="s">
        <v>74</v>
      </c>
      <c r="E56" s="16">
        <v>48000</v>
      </c>
      <c r="F56" s="17">
        <v>44433</v>
      </c>
    </row>
    <row r="57" spans="1:6" x14ac:dyDescent="0.3">
      <c r="A57" s="16">
        <v>105</v>
      </c>
      <c r="B57" s="16" t="s">
        <v>71</v>
      </c>
      <c r="C57" s="16" t="s">
        <v>66</v>
      </c>
      <c r="D57" s="16" t="s">
        <v>72</v>
      </c>
      <c r="E57" s="16">
        <v>72000</v>
      </c>
      <c r="F57" s="17">
        <v>44699</v>
      </c>
    </row>
    <row r="58" spans="1:6" x14ac:dyDescent="0.3">
      <c r="A58" s="16">
        <v>104</v>
      </c>
      <c r="B58" s="16" t="s">
        <v>68</v>
      </c>
      <c r="C58" s="16" t="s">
        <v>69</v>
      </c>
      <c r="D58" s="16" t="s">
        <v>70</v>
      </c>
      <c r="E58" s="16">
        <v>65000</v>
      </c>
      <c r="F58" s="17">
        <v>44967</v>
      </c>
    </row>
    <row r="59" spans="1:6" x14ac:dyDescent="0.3">
      <c r="A59" s="16">
        <v>103</v>
      </c>
      <c r="B59" s="16" t="s">
        <v>65</v>
      </c>
      <c r="C59" s="16" t="s">
        <v>66</v>
      </c>
      <c r="D59" s="16" t="s">
        <v>67</v>
      </c>
      <c r="E59" s="16">
        <v>75000</v>
      </c>
      <c r="F59" s="17">
        <v>44032</v>
      </c>
    </row>
    <row r="60" spans="1:6" x14ac:dyDescent="0.3">
      <c r="A60" s="16">
        <v>102</v>
      </c>
      <c r="B60" s="16" t="s">
        <v>63</v>
      </c>
      <c r="C60" s="16" t="s">
        <v>8</v>
      </c>
      <c r="D60" s="16" t="s">
        <v>64</v>
      </c>
      <c r="E60" s="16">
        <v>60000</v>
      </c>
      <c r="F60" s="17">
        <v>44270</v>
      </c>
    </row>
    <row r="61" spans="1:6" x14ac:dyDescent="0.3">
      <c r="A61" s="16">
        <v>101</v>
      </c>
      <c r="B61" s="16" t="s">
        <v>61</v>
      </c>
      <c r="C61" s="16" t="s">
        <v>4</v>
      </c>
      <c r="D61" s="16" t="s">
        <v>62</v>
      </c>
      <c r="E61" s="16">
        <v>50000</v>
      </c>
      <c r="F61" s="17">
        <v>44573</v>
      </c>
    </row>
    <row r="62" spans="1:6" x14ac:dyDescent="0.3">
      <c r="A62" s="16">
        <v>112</v>
      </c>
      <c r="B62" s="16" t="s">
        <v>82</v>
      </c>
      <c r="C62" s="16" t="s">
        <v>8</v>
      </c>
      <c r="D62" s="16" t="s">
        <v>70</v>
      </c>
      <c r="E62" s="16">
        <v>59000</v>
      </c>
      <c r="F62" s="17">
        <v>44856</v>
      </c>
    </row>
    <row r="63" spans="1:6" x14ac:dyDescent="0.3">
      <c r="A63" s="16">
        <v>111</v>
      </c>
      <c r="B63" s="16" t="s">
        <v>81</v>
      </c>
      <c r="C63" s="16" t="s">
        <v>66</v>
      </c>
      <c r="D63" s="16" t="s">
        <v>72</v>
      </c>
      <c r="E63" s="16">
        <v>77000</v>
      </c>
      <c r="F63" s="17">
        <v>44361</v>
      </c>
    </row>
    <row r="64" spans="1:6" x14ac:dyDescent="0.3">
      <c r="A64" s="18">
        <v>116</v>
      </c>
      <c r="B64" s="18" t="s">
        <v>86</v>
      </c>
      <c r="C64" s="18" t="s">
        <v>8</v>
      </c>
      <c r="D64" s="18" t="s">
        <v>62</v>
      </c>
      <c r="E64" s="18">
        <v>62000</v>
      </c>
      <c r="F64" s="19">
        <v>44781</v>
      </c>
    </row>
    <row r="65" spans="1:6" x14ac:dyDescent="0.3">
      <c r="A65" s="18">
        <v>114</v>
      </c>
      <c r="B65" s="18" t="s">
        <v>84</v>
      </c>
      <c r="C65" s="18" t="s">
        <v>4</v>
      </c>
      <c r="D65" s="18" t="s">
        <v>76</v>
      </c>
      <c r="E65" s="18">
        <v>53000</v>
      </c>
      <c r="F65" s="19">
        <v>45126</v>
      </c>
    </row>
    <row r="66" spans="1:6" x14ac:dyDescent="0.3">
      <c r="A66" s="20">
        <v>110</v>
      </c>
      <c r="B66" s="20" t="s">
        <v>80</v>
      </c>
      <c r="C66" s="20" t="s">
        <v>4</v>
      </c>
      <c r="D66" s="20" t="s">
        <v>64</v>
      </c>
      <c r="E66" s="20">
        <v>52000</v>
      </c>
      <c r="F66" s="21">
        <v>45017</v>
      </c>
    </row>
    <row r="67" spans="1:6" x14ac:dyDescent="0.3">
      <c r="A67" s="20">
        <v>108</v>
      </c>
      <c r="B67" s="20" t="s">
        <v>77</v>
      </c>
      <c r="C67" s="20" t="s">
        <v>69</v>
      </c>
      <c r="D67" s="20" t="s">
        <v>78</v>
      </c>
      <c r="E67" s="20">
        <v>67000</v>
      </c>
      <c r="F67" s="21">
        <v>44809</v>
      </c>
    </row>
  </sheetData>
  <autoFilter ref="A1:F21">
    <sortState ref="A2:F21">
      <sortCondition ref="A2:A2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opLeftCell="A42" workbookViewId="0">
      <selection activeCell="K51" sqref="K51"/>
    </sheetView>
  </sheetViews>
  <sheetFormatPr defaultRowHeight="14.4" x14ac:dyDescent="0.3"/>
  <cols>
    <col min="1" max="1" width="7.21875" style="1" bestFit="1" customWidth="1"/>
    <col min="2" max="2" width="15.5546875" style="1" bestFit="1" customWidth="1"/>
    <col min="3" max="3" width="11.109375" style="1" bestFit="1" customWidth="1"/>
    <col min="4" max="4" width="10.44140625" style="1" bestFit="1" customWidth="1"/>
    <col min="5" max="5" width="10.5546875" style="1" bestFit="1" customWidth="1"/>
    <col min="6" max="6" width="13.109375" style="1" bestFit="1" customWidth="1"/>
    <col min="7" max="8" width="8.88671875" style="1"/>
    <col min="9" max="9" width="13.21875" style="1" bestFit="1" customWidth="1"/>
    <col min="10" max="10" width="7.44140625" style="1" bestFit="1" customWidth="1"/>
    <col min="11" max="11" width="8.33203125" style="1" bestFit="1" customWidth="1"/>
    <col min="12" max="12" width="9" style="1" bestFit="1" customWidth="1"/>
    <col min="13" max="13" width="6.109375" style="1" bestFit="1" customWidth="1"/>
    <col min="14" max="14" width="10.33203125" style="1" bestFit="1" customWidth="1"/>
    <col min="15" max="16384" width="8.88671875" style="1"/>
  </cols>
  <sheetData>
    <row r="1" spans="1:10" x14ac:dyDescent="0.3">
      <c r="A1" s="32" t="s">
        <v>56</v>
      </c>
      <c r="B1" s="32" t="s">
        <v>58</v>
      </c>
      <c r="C1" s="32" t="s">
        <v>59</v>
      </c>
      <c r="D1" s="32" t="s">
        <v>57</v>
      </c>
      <c r="E1" s="32" t="s">
        <v>3</v>
      </c>
      <c r="F1" s="32" t="s">
        <v>60</v>
      </c>
      <c r="I1" s="35" t="s">
        <v>121</v>
      </c>
      <c r="J1" s="36" t="s">
        <v>120</v>
      </c>
    </row>
    <row r="2" spans="1:10" x14ac:dyDescent="0.3">
      <c r="A2" s="33">
        <v>108</v>
      </c>
      <c r="B2" s="33" t="s">
        <v>69</v>
      </c>
      <c r="C2" s="33" t="s">
        <v>78</v>
      </c>
      <c r="D2" s="33" t="s">
        <v>77</v>
      </c>
      <c r="E2" s="33">
        <v>67000</v>
      </c>
      <c r="F2" s="34">
        <v>44809</v>
      </c>
      <c r="I2" s="36" t="s">
        <v>122</v>
      </c>
      <c r="J2" s="36" t="s">
        <v>123</v>
      </c>
    </row>
    <row r="3" spans="1:10" x14ac:dyDescent="0.3">
      <c r="A3" s="33">
        <v>104</v>
      </c>
      <c r="B3" s="33" t="s">
        <v>69</v>
      </c>
      <c r="C3" s="33" t="s">
        <v>70</v>
      </c>
      <c r="D3" s="33" t="s">
        <v>68</v>
      </c>
      <c r="E3" s="33">
        <v>65000</v>
      </c>
      <c r="F3" s="34">
        <v>44967</v>
      </c>
    </row>
    <row r="4" spans="1:10" x14ac:dyDescent="0.3">
      <c r="A4" s="33">
        <v>117</v>
      </c>
      <c r="B4" s="33" t="s">
        <v>69</v>
      </c>
      <c r="C4" s="33" t="s">
        <v>64</v>
      </c>
      <c r="D4" s="33" t="s">
        <v>87</v>
      </c>
      <c r="E4" s="33">
        <v>70000</v>
      </c>
      <c r="F4" s="34">
        <v>43967</v>
      </c>
    </row>
    <row r="5" spans="1:10" x14ac:dyDescent="0.3">
      <c r="A5" s="33">
        <v>113</v>
      </c>
      <c r="B5" s="33" t="s">
        <v>69</v>
      </c>
      <c r="C5" s="33" t="s">
        <v>74</v>
      </c>
      <c r="D5" s="33" t="s">
        <v>83</v>
      </c>
      <c r="E5" s="33">
        <v>68000</v>
      </c>
      <c r="F5" s="34">
        <v>43893</v>
      </c>
    </row>
    <row r="6" spans="1:10" x14ac:dyDescent="0.3">
      <c r="A6" s="33">
        <v>112</v>
      </c>
      <c r="B6" s="33" t="s">
        <v>8</v>
      </c>
      <c r="C6" s="33" t="s">
        <v>70</v>
      </c>
      <c r="D6" s="33" t="s">
        <v>82</v>
      </c>
      <c r="E6" s="33">
        <v>59000</v>
      </c>
      <c r="F6" s="34">
        <v>44856</v>
      </c>
    </row>
    <row r="7" spans="1:10" x14ac:dyDescent="0.3">
      <c r="A7" s="33">
        <v>102</v>
      </c>
      <c r="B7" s="33" t="s">
        <v>8</v>
      </c>
      <c r="C7" s="33" t="s">
        <v>64</v>
      </c>
      <c r="D7" s="33" t="s">
        <v>63</v>
      </c>
      <c r="E7" s="33">
        <v>60000</v>
      </c>
      <c r="F7" s="34">
        <v>44270</v>
      </c>
    </row>
    <row r="8" spans="1:10" x14ac:dyDescent="0.3">
      <c r="A8" s="33">
        <v>107</v>
      </c>
      <c r="B8" s="33" t="s">
        <v>8</v>
      </c>
      <c r="C8" s="33" t="s">
        <v>76</v>
      </c>
      <c r="D8" s="33" t="s">
        <v>75</v>
      </c>
      <c r="E8" s="33">
        <v>61000</v>
      </c>
      <c r="F8" s="34">
        <v>44165</v>
      </c>
    </row>
    <row r="9" spans="1:10" x14ac:dyDescent="0.3">
      <c r="A9" s="33">
        <v>116</v>
      </c>
      <c r="B9" s="33" t="s">
        <v>8</v>
      </c>
      <c r="C9" s="33" t="s">
        <v>62</v>
      </c>
      <c r="D9" s="33" t="s">
        <v>86</v>
      </c>
      <c r="E9" s="33">
        <v>62000</v>
      </c>
      <c r="F9" s="34">
        <v>44781</v>
      </c>
    </row>
    <row r="10" spans="1:10" x14ac:dyDescent="0.3">
      <c r="A10" s="33">
        <v>120</v>
      </c>
      <c r="B10" s="33" t="s">
        <v>8</v>
      </c>
      <c r="C10" s="33" t="s">
        <v>72</v>
      </c>
      <c r="D10" s="33" t="s">
        <v>90</v>
      </c>
      <c r="E10" s="33">
        <v>63000</v>
      </c>
      <c r="F10" s="34">
        <v>44083</v>
      </c>
    </row>
    <row r="11" spans="1:10" x14ac:dyDescent="0.3">
      <c r="A11" s="33">
        <v>115</v>
      </c>
      <c r="B11" s="33" t="s">
        <v>66</v>
      </c>
      <c r="C11" s="33" t="s">
        <v>78</v>
      </c>
      <c r="D11" s="33" t="s">
        <v>85</v>
      </c>
      <c r="E11" s="33">
        <v>81000</v>
      </c>
      <c r="F11" s="34">
        <v>44223</v>
      </c>
    </row>
    <row r="12" spans="1:10" x14ac:dyDescent="0.3">
      <c r="A12" s="33">
        <v>119</v>
      </c>
      <c r="B12" s="33" t="s">
        <v>66</v>
      </c>
      <c r="C12" s="33" t="s">
        <v>70</v>
      </c>
      <c r="D12" s="33" t="s">
        <v>89</v>
      </c>
      <c r="E12" s="33">
        <v>79000</v>
      </c>
      <c r="F12" s="34">
        <v>44978</v>
      </c>
    </row>
    <row r="13" spans="1:10" x14ac:dyDescent="0.3">
      <c r="A13" s="33">
        <v>103</v>
      </c>
      <c r="B13" s="33" t="s">
        <v>66</v>
      </c>
      <c r="C13" s="33" t="s">
        <v>67</v>
      </c>
      <c r="D13" s="33" t="s">
        <v>65</v>
      </c>
      <c r="E13" s="33">
        <v>75000</v>
      </c>
      <c r="F13" s="34">
        <v>44032</v>
      </c>
    </row>
    <row r="14" spans="1:10" x14ac:dyDescent="0.3">
      <c r="A14" s="33">
        <v>109</v>
      </c>
      <c r="B14" s="33" t="s">
        <v>66</v>
      </c>
      <c r="C14" s="33" t="s">
        <v>67</v>
      </c>
      <c r="D14" s="33" t="s">
        <v>79</v>
      </c>
      <c r="E14" s="33">
        <v>80000</v>
      </c>
      <c r="F14" s="34">
        <v>43811</v>
      </c>
    </row>
    <row r="15" spans="1:10" x14ac:dyDescent="0.3">
      <c r="A15" s="33">
        <v>111</v>
      </c>
      <c r="B15" s="33" t="s">
        <v>66</v>
      </c>
      <c r="C15" s="33" t="s">
        <v>72</v>
      </c>
      <c r="D15" s="33" t="s">
        <v>81</v>
      </c>
      <c r="E15" s="33">
        <v>77000</v>
      </c>
      <c r="F15" s="34">
        <v>44361</v>
      </c>
    </row>
    <row r="16" spans="1:10" x14ac:dyDescent="0.3">
      <c r="A16" s="33">
        <v>105</v>
      </c>
      <c r="B16" s="33" t="s">
        <v>66</v>
      </c>
      <c r="C16" s="33" t="s">
        <v>72</v>
      </c>
      <c r="D16" s="33" t="s">
        <v>71</v>
      </c>
      <c r="E16" s="33">
        <v>72000</v>
      </c>
      <c r="F16" s="34">
        <v>44699</v>
      </c>
    </row>
    <row r="17" spans="1:6" x14ac:dyDescent="0.3">
      <c r="A17" s="33">
        <v>110</v>
      </c>
      <c r="B17" s="33" t="s">
        <v>4</v>
      </c>
      <c r="C17" s="33" t="s">
        <v>64</v>
      </c>
      <c r="D17" s="33" t="s">
        <v>80</v>
      </c>
      <c r="E17" s="33">
        <v>52000</v>
      </c>
      <c r="F17" s="34">
        <v>45017</v>
      </c>
    </row>
    <row r="18" spans="1:6" x14ac:dyDescent="0.3">
      <c r="A18" s="33">
        <v>118</v>
      </c>
      <c r="B18" s="33" t="s">
        <v>4</v>
      </c>
      <c r="C18" s="33" t="s">
        <v>67</v>
      </c>
      <c r="D18" s="33" t="s">
        <v>88</v>
      </c>
      <c r="E18" s="33">
        <v>51000</v>
      </c>
      <c r="F18" s="34">
        <v>44511</v>
      </c>
    </row>
    <row r="19" spans="1:6" x14ac:dyDescent="0.3">
      <c r="A19" s="33">
        <v>114</v>
      </c>
      <c r="B19" s="33" t="s">
        <v>4</v>
      </c>
      <c r="C19" s="33" t="s">
        <v>76</v>
      </c>
      <c r="D19" s="33" t="s">
        <v>84</v>
      </c>
      <c r="E19" s="33">
        <v>53000</v>
      </c>
      <c r="F19" s="34">
        <v>45126</v>
      </c>
    </row>
    <row r="20" spans="1:6" x14ac:dyDescent="0.3">
      <c r="A20" s="33">
        <v>106</v>
      </c>
      <c r="B20" s="33" t="s">
        <v>4</v>
      </c>
      <c r="C20" s="33" t="s">
        <v>74</v>
      </c>
      <c r="D20" s="33" t="s">
        <v>73</v>
      </c>
      <c r="E20" s="33">
        <v>48000</v>
      </c>
      <c r="F20" s="34">
        <v>44433</v>
      </c>
    </row>
    <row r="21" spans="1:6" x14ac:dyDescent="0.3">
      <c r="A21" s="33">
        <v>101</v>
      </c>
      <c r="B21" s="33" t="s">
        <v>4</v>
      </c>
      <c r="C21" s="33" t="s">
        <v>62</v>
      </c>
      <c r="D21" s="33" t="s">
        <v>61</v>
      </c>
      <c r="E21" s="33">
        <v>50000</v>
      </c>
      <c r="F21" s="34">
        <v>44573</v>
      </c>
    </row>
    <row r="24" spans="1:6" x14ac:dyDescent="0.3">
      <c r="A24" s="32" t="s">
        <v>56</v>
      </c>
      <c r="B24" s="32" t="s">
        <v>57</v>
      </c>
      <c r="C24" s="32" t="s">
        <v>58</v>
      </c>
      <c r="D24" s="32" t="s">
        <v>59</v>
      </c>
      <c r="E24" s="32" t="s">
        <v>3</v>
      </c>
      <c r="F24" s="32" t="s">
        <v>60</v>
      </c>
    </row>
    <row r="25" spans="1:6" x14ac:dyDescent="0.3">
      <c r="A25" s="10">
        <v>120</v>
      </c>
      <c r="B25" s="10" t="s">
        <v>90</v>
      </c>
      <c r="C25" s="10" t="s">
        <v>8</v>
      </c>
      <c r="D25" s="10" t="s">
        <v>72</v>
      </c>
      <c r="E25" s="10">
        <v>63000</v>
      </c>
      <c r="F25" s="11">
        <v>44083</v>
      </c>
    </row>
    <row r="26" spans="1:6" x14ac:dyDescent="0.3">
      <c r="A26" s="10">
        <v>119</v>
      </c>
      <c r="B26" s="10" t="s">
        <v>89</v>
      </c>
      <c r="C26" s="10" t="s">
        <v>66</v>
      </c>
      <c r="D26" s="10" t="s">
        <v>70</v>
      </c>
      <c r="E26" s="10">
        <v>79000</v>
      </c>
      <c r="F26" s="11">
        <v>44978</v>
      </c>
    </row>
    <row r="27" spans="1:6" x14ac:dyDescent="0.3">
      <c r="A27" s="14">
        <v>112</v>
      </c>
      <c r="B27" s="14" t="s">
        <v>82</v>
      </c>
      <c r="C27" s="14" t="s">
        <v>8</v>
      </c>
      <c r="D27" s="14" t="s">
        <v>70</v>
      </c>
      <c r="E27" s="14">
        <v>59000</v>
      </c>
      <c r="F27" s="15">
        <v>44856</v>
      </c>
    </row>
    <row r="28" spans="1:6" x14ac:dyDescent="0.3">
      <c r="A28" s="14">
        <v>111</v>
      </c>
      <c r="B28" s="14" t="s">
        <v>81</v>
      </c>
      <c r="C28" s="14" t="s">
        <v>66</v>
      </c>
      <c r="D28" s="14" t="s">
        <v>72</v>
      </c>
      <c r="E28" s="14">
        <v>77000</v>
      </c>
      <c r="F28" s="15">
        <v>44361</v>
      </c>
    </row>
    <row r="29" spans="1:6" x14ac:dyDescent="0.3">
      <c r="A29" s="12">
        <v>118</v>
      </c>
      <c r="B29" s="12" t="s">
        <v>88</v>
      </c>
      <c r="C29" s="12" t="s">
        <v>4</v>
      </c>
      <c r="D29" s="12" t="s">
        <v>67</v>
      </c>
      <c r="E29" s="12">
        <v>51000</v>
      </c>
      <c r="F29" s="13">
        <v>44511</v>
      </c>
    </row>
    <row r="30" spans="1:6" x14ac:dyDescent="0.3">
      <c r="A30" s="12">
        <v>117</v>
      </c>
      <c r="B30" s="12" t="s">
        <v>87</v>
      </c>
      <c r="C30" s="12" t="s">
        <v>69</v>
      </c>
      <c r="D30" s="12" t="s">
        <v>64</v>
      </c>
      <c r="E30" s="12">
        <v>70000</v>
      </c>
      <c r="F30" s="13">
        <v>43967</v>
      </c>
    </row>
    <row r="31" spans="1:6" x14ac:dyDescent="0.3">
      <c r="A31" s="12">
        <v>116</v>
      </c>
      <c r="B31" s="12" t="s">
        <v>86</v>
      </c>
      <c r="C31" s="12" t="s">
        <v>8</v>
      </c>
      <c r="D31" s="12" t="s">
        <v>62</v>
      </c>
      <c r="E31" s="12">
        <v>62000</v>
      </c>
      <c r="F31" s="13">
        <v>44781</v>
      </c>
    </row>
    <row r="32" spans="1:6" x14ac:dyDescent="0.3">
      <c r="A32" s="12">
        <v>115</v>
      </c>
      <c r="B32" s="12" t="s">
        <v>85</v>
      </c>
      <c r="C32" s="12" t="s">
        <v>66</v>
      </c>
      <c r="D32" s="12" t="s">
        <v>78</v>
      </c>
      <c r="E32" s="12">
        <v>81000</v>
      </c>
      <c r="F32" s="13">
        <v>44223</v>
      </c>
    </row>
    <row r="33" spans="1:6" x14ac:dyDescent="0.3">
      <c r="A33" s="12">
        <v>114</v>
      </c>
      <c r="B33" s="12" t="s">
        <v>84</v>
      </c>
      <c r="C33" s="12" t="s">
        <v>4</v>
      </c>
      <c r="D33" s="12" t="s">
        <v>76</v>
      </c>
      <c r="E33" s="12">
        <v>53000</v>
      </c>
      <c r="F33" s="13">
        <v>45126</v>
      </c>
    </row>
    <row r="34" spans="1:6" x14ac:dyDescent="0.3">
      <c r="A34" s="12">
        <v>113</v>
      </c>
      <c r="B34" s="12" t="s">
        <v>83</v>
      </c>
      <c r="C34" s="12" t="s">
        <v>69</v>
      </c>
      <c r="D34" s="12" t="s">
        <v>74</v>
      </c>
      <c r="E34" s="12">
        <v>68000</v>
      </c>
      <c r="F34" s="13">
        <v>43893</v>
      </c>
    </row>
    <row r="35" spans="1:6" x14ac:dyDescent="0.3">
      <c r="A35" s="12">
        <v>110</v>
      </c>
      <c r="B35" s="12" t="s">
        <v>80</v>
      </c>
      <c r="C35" s="12" t="s">
        <v>4</v>
      </c>
      <c r="D35" s="12" t="s">
        <v>64</v>
      </c>
      <c r="E35" s="12">
        <v>52000</v>
      </c>
      <c r="F35" s="13">
        <v>45017</v>
      </c>
    </row>
    <row r="36" spans="1:6" x14ac:dyDescent="0.3">
      <c r="A36" s="12">
        <v>109</v>
      </c>
      <c r="B36" s="12" t="s">
        <v>79</v>
      </c>
      <c r="C36" s="12" t="s">
        <v>66</v>
      </c>
      <c r="D36" s="12" t="s">
        <v>67</v>
      </c>
      <c r="E36" s="12">
        <v>80000</v>
      </c>
      <c r="F36" s="13">
        <v>43811</v>
      </c>
    </row>
    <row r="37" spans="1:6" x14ac:dyDescent="0.3">
      <c r="A37" s="12">
        <v>108</v>
      </c>
      <c r="B37" s="12" t="s">
        <v>77</v>
      </c>
      <c r="C37" s="12" t="s">
        <v>69</v>
      </c>
      <c r="D37" s="12" t="s">
        <v>78</v>
      </c>
      <c r="E37" s="12">
        <v>67000</v>
      </c>
      <c r="F37" s="13">
        <v>44809</v>
      </c>
    </row>
    <row r="38" spans="1:6" x14ac:dyDescent="0.3">
      <c r="A38" s="12">
        <v>107</v>
      </c>
      <c r="B38" s="12" t="s">
        <v>75</v>
      </c>
      <c r="C38" s="12" t="s">
        <v>8</v>
      </c>
      <c r="D38" s="12" t="s">
        <v>76</v>
      </c>
      <c r="E38" s="12">
        <v>61000</v>
      </c>
      <c r="F38" s="13">
        <v>44165</v>
      </c>
    </row>
    <row r="39" spans="1:6" x14ac:dyDescent="0.3">
      <c r="A39" s="12">
        <v>106</v>
      </c>
      <c r="B39" s="12" t="s">
        <v>73</v>
      </c>
      <c r="C39" s="12" t="s">
        <v>4</v>
      </c>
      <c r="D39" s="12" t="s">
        <v>74</v>
      </c>
      <c r="E39" s="12">
        <v>48000</v>
      </c>
      <c r="F39" s="13">
        <v>44433</v>
      </c>
    </row>
    <row r="40" spans="1:6" x14ac:dyDescent="0.3">
      <c r="A40" s="12">
        <v>105</v>
      </c>
      <c r="B40" s="12" t="s">
        <v>71</v>
      </c>
      <c r="C40" s="12" t="s">
        <v>66</v>
      </c>
      <c r="D40" s="12" t="s">
        <v>72</v>
      </c>
      <c r="E40" s="12">
        <v>72000</v>
      </c>
      <c r="F40" s="13">
        <v>44699</v>
      </c>
    </row>
    <row r="41" spans="1:6" x14ac:dyDescent="0.3">
      <c r="A41" s="12">
        <v>104</v>
      </c>
      <c r="B41" s="12" t="s">
        <v>68</v>
      </c>
      <c r="C41" s="12" t="s">
        <v>69</v>
      </c>
      <c r="D41" s="12" t="s">
        <v>70</v>
      </c>
      <c r="E41" s="12">
        <v>65000</v>
      </c>
      <c r="F41" s="13">
        <v>44967</v>
      </c>
    </row>
    <row r="42" spans="1:6" x14ac:dyDescent="0.3">
      <c r="A42" s="12">
        <v>103</v>
      </c>
      <c r="B42" s="12" t="s">
        <v>65</v>
      </c>
      <c r="C42" s="12" t="s">
        <v>66</v>
      </c>
      <c r="D42" s="12" t="s">
        <v>67</v>
      </c>
      <c r="E42" s="12">
        <v>75000</v>
      </c>
      <c r="F42" s="13">
        <v>44032</v>
      </c>
    </row>
    <row r="43" spans="1:6" x14ac:dyDescent="0.3">
      <c r="A43" s="12">
        <v>102</v>
      </c>
      <c r="B43" s="12" t="s">
        <v>63</v>
      </c>
      <c r="C43" s="12" t="s">
        <v>8</v>
      </c>
      <c r="D43" s="12" t="s">
        <v>64</v>
      </c>
      <c r="E43" s="12">
        <v>60000</v>
      </c>
      <c r="F43" s="13">
        <v>44270</v>
      </c>
    </row>
    <row r="44" spans="1:6" x14ac:dyDescent="0.3">
      <c r="A44" s="12">
        <v>101</v>
      </c>
      <c r="B44" s="12" t="s">
        <v>61</v>
      </c>
      <c r="C44" s="12" t="s">
        <v>4</v>
      </c>
      <c r="D44" s="12" t="s">
        <v>62</v>
      </c>
      <c r="E44" s="12">
        <v>50000</v>
      </c>
      <c r="F44" s="13">
        <v>44573</v>
      </c>
    </row>
    <row r="47" spans="1:6" x14ac:dyDescent="0.3">
      <c r="A47" s="32" t="s">
        <v>56</v>
      </c>
      <c r="B47" s="32" t="s">
        <v>57</v>
      </c>
      <c r="C47" s="32" t="s">
        <v>58</v>
      </c>
      <c r="D47" s="32" t="s">
        <v>59</v>
      </c>
      <c r="E47" s="32" t="s">
        <v>3</v>
      </c>
      <c r="F47" s="32" t="s">
        <v>60</v>
      </c>
    </row>
    <row r="48" spans="1:6" x14ac:dyDescent="0.3">
      <c r="A48" s="16">
        <v>120</v>
      </c>
      <c r="B48" s="16" t="s">
        <v>90</v>
      </c>
      <c r="C48" s="16" t="s">
        <v>8</v>
      </c>
      <c r="D48" s="16" t="s">
        <v>72</v>
      </c>
      <c r="E48" s="16">
        <v>63000</v>
      </c>
      <c r="F48" s="17">
        <v>44083</v>
      </c>
    </row>
    <row r="49" spans="1:6" x14ac:dyDescent="0.3">
      <c r="A49" s="16">
        <v>119</v>
      </c>
      <c r="B49" s="16" t="s">
        <v>89</v>
      </c>
      <c r="C49" s="16" t="s">
        <v>66</v>
      </c>
      <c r="D49" s="16" t="s">
        <v>70</v>
      </c>
      <c r="E49" s="16">
        <v>79000</v>
      </c>
      <c r="F49" s="17">
        <v>44978</v>
      </c>
    </row>
    <row r="50" spans="1:6" x14ac:dyDescent="0.3">
      <c r="A50" s="16">
        <v>118</v>
      </c>
      <c r="B50" s="16" t="s">
        <v>88</v>
      </c>
      <c r="C50" s="16" t="s">
        <v>4</v>
      </c>
      <c r="D50" s="16" t="s">
        <v>67</v>
      </c>
      <c r="E50" s="16">
        <v>51000</v>
      </c>
      <c r="F50" s="17">
        <v>44511</v>
      </c>
    </row>
    <row r="51" spans="1:6" x14ac:dyDescent="0.3">
      <c r="A51" s="16">
        <v>117</v>
      </c>
      <c r="B51" s="16" t="s">
        <v>87</v>
      </c>
      <c r="C51" s="16" t="s">
        <v>69</v>
      </c>
      <c r="D51" s="16" t="s">
        <v>64</v>
      </c>
      <c r="E51" s="16">
        <v>70000</v>
      </c>
      <c r="F51" s="17">
        <v>43967</v>
      </c>
    </row>
    <row r="52" spans="1:6" x14ac:dyDescent="0.3">
      <c r="A52" s="16">
        <v>115</v>
      </c>
      <c r="B52" s="16" t="s">
        <v>85</v>
      </c>
      <c r="C52" s="16" t="s">
        <v>66</v>
      </c>
      <c r="D52" s="16" t="s">
        <v>78</v>
      </c>
      <c r="E52" s="16">
        <v>81000</v>
      </c>
      <c r="F52" s="17">
        <v>44223</v>
      </c>
    </row>
    <row r="53" spans="1:6" x14ac:dyDescent="0.3">
      <c r="A53" s="16">
        <v>113</v>
      </c>
      <c r="B53" s="16" t="s">
        <v>83</v>
      </c>
      <c r="C53" s="16" t="s">
        <v>69</v>
      </c>
      <c r="D53" s="16" t="s">
        <v>74</v>
      </c>
      <c r="E53" s="16">
        <v>68000</v>
      </c>
      <c r="F53" s="17">
        <v>43893</v>
      </c>
    </row>
    <row r="54" spans="1:6" x14ac:dyDescent="0.3">
      <c r="A54" s="16">
        <v>109</v>
      </c>
      <c r="B54" s="16" t="s">
        <v>79</v>
      </c>
      <c r="C54" s="16" t="s">
        <v>66</v>
      </c>
      <c r="D54" s="16" t="s">
        <v>67</v>
      </c>
      <c r="E54" s="16">
        <v>80000</v>
      </c>
      <c r="F54" s="17">
        <v>43811</v>
      </c>
    </row>
    <row r="55" spans="1:6" x14ac:dyDescent="0.3">
      <c r="A55" s="16">
        <v>107</v>
      </c>
      <c r="B55" s="16" t="s">
        <v>75</v>
      </c>
      <c r="C55" s="16" t="s">
        <v>8</v>
      </c>
      <c r="D55" s="16" t="s">
        <v>76</v>
      </c>
      <c r="E55" s="16">
        <v>61000</v>
      </c>
      <c r="F55" s="17">
        <v>44165</v>
      </c>
    </row>
    <row r="56" spans="1:6" x14ac:dyDescent="0.3">
      <c r="A56" s="16">
        <v>106</v>
      </c>
      <c r="B56" s="16" t="s">
        <v>73</v>
      </c>
      <c r="C56" s="16" t="s">
        <v>4</v>
      </c>
      <c r="D56" s="16" t="s">
        <v>74</v>
      </c>
      <c r="E56" s="16">
        <v>48000</v>
      </c>
      <c r="F56" s="17">
        <v>44433</v>
      </c>
    </row>
    <row r="57" spans="1:6" x14ac:dyDescent="0.3">
      <c r="A57" s="16">
        <v>105</v>
      </c>
      <c r="B57" s="16" t="s">
        <v>71</v>
      </c>
      <c r="C57" s="16" t="s">
        <v>66</v>
      </c>
      <c r="D57" s="16" t="s">
        <v>72</v>
      </c>
      <c r="E57" s="16">
        <v>72000</v>
      </c>
      <c r="F57" s="17">
        <v>44699</v>
      </c>
    </row>
    <row r="58" spans="1:6" x14ac:dyDescent="0.3">
      <c r="A58" s="16">
        <v>104</v>
      </c>
      <c r="B58" s="16" t="s">
        <v>68</v>
      </c>
      <c r="C58" s="16" t="s">
        <v>69</v>
      </c>
      <c r="D58" s="16" t="s">
        <v>70</v>
      </c>
      <c r="E58" s="16">
        <v>65000</v>
      </c>
      <c r="F58" s="17">
        <v>44967</v>
      </c>
    </row>
    <row r="59" spans="1:6" x14ac:dyDescent="0.3">
      <c r="A59" s="16">
        <v>103</v>
      </c>
      <c r="B59" s="16" t="s">
        <v>65</v>
      </c>
      <c r="C59" s="16" t="s">
        <v>66</v>
      </c>
      <c r="D59" s="16" t="s">
        <v>67</v>
      </c>
      <c r="E59" s="16">
        <v>75000</v>
      </c>
      <c r="F59" s="17">
        <v>44032</v>
      </c>
    </row>
    <row r="60" spans="1:6" x14ac:dyDescent="0.3">
      <c r="A60" s="16">
        <v>102</v>
      </c>
      <c r="B60" s="16" t="s">
        <v>63</v>
      </c>
      <c r="C60" s="16" t="s">
        <v>8</v>
      </c>
      <c r="D60" s="16" t="s">
        <v>64</v>
      </c>
      <c r="E60" s="16">
        <v>60000</v>
      </c>
      <c r="F60" s="17">
        <v>44270</v>
      </c>
    </row>
    <row r="61" spans="1:6" x14ac:dyDescent="0.3">
      <c r="A61" s="16">
        <v>101</v>
      </c>
      <c r="B61" s="16" t="s">
        <v>61</v>
      </c>
      <c r="C61" s="16" t="s">
        <v>4</v>
      </c>
      <c r="D61" s="16" t="s">
        <v>62</v>
      </c>
      <c r="E61" s="16">
        <v>50000</v>
      </c>
      <c r="F61" s="17">
        <v>44573</v>
      </c>
    </row>
    <row r="62" spans="1:6" x14ac:dyDescent="0.3">
      <c r="A62" s="16">
        <v>112</v>
      </c>
      <c r="B62" s="16" t="s">
        <v>82</v>
      </c>
      <c r="C62" s="16" t="s">
        <v>8</v>
      </c>
      <c r="D62" s="16" t="s">
        <v>70</v>
      </c>
      <c r="E62" s="16">
        <v>59000</v>
      </c>
      <c r="F62" s="17">
        <v>44856</v>
      </c>
    </row>
    <row r="63" spans="1:6" x14ac:dyDescent="0.3">
      <c r="A63" s="16">
        <v>111</v>
      </c>
      <c r="B63" s="16" t="s">
        <v>81</v>
      </c>
      <c r="C63" s="16" t="s">
        <v>66</v>
      </c>
      <c r="D63" s="16" t="s">
        <v>72</v>
      </c>
      <c r="E63" s="16">
        <v>77000</v>
      </c>
      <c r="F63" s="17">
        <v>44361</v>
      </c>
    </row>
    <row r="64" spans="1:6" x14ac:dyDescent="0.3">
      <c r="A64" s="18">
        <v>116</v>
      </c>
      <c r="B64" s="18" t="s">
        <v>86</v>
      </c>
      <c r="C64" s="18" t="s">
        <v>8</v>
      </c>
      <c r="D64" s="18" t="s">
        <v>62</v>
      </c>
      <c r="E64" s="18">
        <v>62000</v>
      </c>
      <c r="F64" s="19">
        <v>44781</v>
      </c>
    </row>
    <row r="65" spans="1:6" x14ac:dyDescent="0.3">
      <c r="A65" s="18">
        <v>114</v>
      </c>
      <c r="B65" s="18" t="s">
        <v>84</v>
      </c>
      <c r="C65" s="18" t="s">
        <v>4</v>
      </c>
      <c r="D65" s="18" t="s">
        <v>76</v>
      </c>
      <c r="E65" s="18">
        <v>53000</v>
      </c>
      <c r="F65" s="19">
        <v>45126</v>
      </c>
    </row>
    <row r="66" spans="1:6" x14ac:dyDescent="0.3">
      <c r="A66" s="20">
        <v>110</v>
      </c>
      <c r="B66" s="20" t="s">
        <v>80</v>
      </c>
      <c r="C66" s="20" t="s">
        <v>4</v>
      </c>
      <c r="D66" s="20" t="s">
        <v>64</v>
      </c>
      <c r="E66" s="20">
        <v>52000</v>
      </c>
      <c r="F66" s="21">
        <v>45017</v>
      </c>
    </row>
    <row r="67" spans="1:6" x14ac:dyDescent="0.3">
      <c r="A67" s="20">
        <v>108</v>
      </c>
      <c r="B67" s="20" t="s">
        <v>77</v>
      </c>
      <c r="C67" s="20" t="s">
        <v>69</v>
      </c>
      <c r="D67" s="20" t="s">
        <v>78</v>
      </c>
      <c r="E67" s="20">
        <v>67000</v>
      </c>
      <c r="F67" s="21">
        <v>44809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>
      <selection activeCell="F17" sqref="F17"/>
    </sheetView>
  </sheetViews>
  <sheetFormatPr defaultRowHeight="14.4" x14ac:dyDescent="0.3"/>
  <cols>
    <col min="1" max="1" width="7.21875" bestFit="1" customWidth="1"/>
    <col min="2" max="2" width="10.44140625" bestFit="1" customWidth="1"/>
    <col min="3" max="3" width="15.5546875" bestFit="1" customWidth="1"/>
    <col min="5" max="5" width="10.5546875" bestFit="1" customWidth="1"/>
    <col min="6" max="6" width="13.109375" bestFit="1" customWidth="1"/>
    <col min="7" max="7" width="17.88671875" customWidth="1"/>
  </cols>
  <sheetData>
    <row r="1" spans="1:21" ht="43.2" x14ac:dyDescent="0.3">
      <c r="A1" s="37" t="s">
        <v>56</v>
      </c>
      <c r="B1" s="37" t="s">
        <v>57</v>
      </c>
      <c r="C1" s="37" t="s">
        <v>58</v>
      </c>
      <c r="D1" s="37" t="s">
        <v>59</v>
      </c>
      <c r="E1" s="37" t="s">
        <v>3</v>
      </c>
      <c r="F1" s="37" t="s">
        <v>60</v>
      </c>
      <c r="G1" s="42" t="s">
        <v>126</v>
      </c>
      <c r="K1" t="s">
        <v>56</v>
      </c>
      <c r="L1" t="s">
        <v>124</v>
      </c>
      <c r="M1" t="s">
        <v>125</v>
      </c>
      <c r="P1" t="s">
        <v>56</v>
      </c>
      <c r="Q1" t="s">
        <v>57</v>
      </c>
      <c r="R1" t="s">
        <v>58</v>
      </c>
      <c r="S1" t="s">
        <v>59</v>
      </c>
      <c r="T1" t="s">
        <v>3</v>
      </c>
      <c r="U1" t="s">
        <v>60</v>
      </c>
    </row>
    <row r="2" spans="1:21" x14ac:dyDescent="0.3">
      <c r="A2" s="38">
        <v>120</v>
      </c>
      <c r="B2" s="38" t="s">
        <v>90</v>
      </c>
      <c r="C2" s="38" t="s">
        <v>8</v>
      </c>
      <c r="D2" s="38" t="s">
        <v>72</v>
      </c>
      <c r="E2" s="38">
        <v>63000</v>
      </c>
      <c r="F2" s="39">
        <v>44083</v>
      </c>
      <c r="G2" s="40" t="str">
        <f>EmpData[[#This Row],[Name]]&amp;" "&amp;EmpData[[#This Row],[Department]]</f>
        <v>Charlotte HR</v>
      </c>
      <c r="K2">
        <v>120</v>
      </c>
      <c r="L2">
        <f>VLOOKUP(K2,EmpData[#All],1,FALSE)</f>
        <v>120</v>
      </c>
      <c r="M2">
        <f>VLOOKUP(K2,$P$1:$U$24,1,FALSE)</f>
        <v>120</v>
      </c>
      <c r="P2">
        <v>120</v>
      </c>
      <c r="Q2" t="s">
        <v>90</v>
      </c>
      <c r="R2" t="s">
        <v>8</v>
      </c>
      <c r="S2" t="s">
        <v>72</v>
      </c>
      <c r="T2">
        <v>63000</v>
      </c>
      <c r="U2">
        <v>44083</v>
      </c>
    </row>
    <row r="3" spans="1:21" x14ac:dyDescent="0.3">
      <c r="A3" s="38">
        <v>119</v>
      </c>
      <c r="B3" s="38" t="s">
        <v>89</v>
      </c>
      <c r="C3" s="38" t="s">
        <v>66</v>
      </c>
      <c r="D3" s="38" t="s">
        <v>70</v>
      </c>
      <c r="E3" s="38">
        <v>79000</v>
      </c>
      <c r="F3" s="39">
        <v>44978</v>
      </c>
      <c r="G3" s="40" t="str">
        <f>EmpData[[#This Row],[Name]]&amp;" "&amp;EmpData[[#This Row],[Department]]</f>
        <v>Benjamin IT</v>
      </c>
      <c r="K3">
        <v>119</v>
      </c>
      <c r="L3">
        <f>VLOOKUP(K3,EmpData[#All],1,FALSE)</f>
        <v>119</v>
      </c>
      <c r="M3">
        <f t="shared" ref="M3:M24" si="0">VLOOKUP(K3,$P$1:$U$24,1,FALSE)</f>
        <v>119</v>
      </c>
      <c r="P3">
        <v>119</v>
      </c>
      <c r="Q3" t="s">
        <v>89</v>
      </c>
      <c r="R3" t="s">
        <v>66</v>
      </c>
      <c r="S3" t="s">
        <v>70</v>
      </c>
      <c r="T3">
        <v>79000</v>
      </c>
      <c r="U3">
        <v>44978</v>
      </c>
    </row>
    <row r="4" spans="1:21" x14ac:dyDescent="0.3">
      <c r="A4" s="38">
        <v>118</v>
      </c>
      <c r="B4" s="38" t="s">
        <v>88</v>
      </c>
      <c r="C4" s="38" t="s">
        <v>4</v>
      </c>
      <c r="D4" s="38" t="s">
        <v>67</v>
      </c>
      <c r="E4" s="38">
        <v>51000</v>
      </c>
      <c r="F4" s="39">
        <v>44511</v>
      </c>
      <c r="G4" s="40" t="str">
        <f>EmpData[[#This Row],[Name]]&amp;" "&amp;EmpData[[#This Row],[Department]]</f>
        <v>Harper Sales</v>
      </c>
      <c r="K4">
        <v>118</v>
      </c>
      <c r="L4">
        <f>VLOOKUP(K4,EmpData[#All],1,FALSE)</f>
        <v>118</v>
      </c>
      <c r="M4">
        <f t="shared" si="0"/>
        <v>118</v>
      </c>
      <c r="P4">
        <v>118</v>
      </c>
      <c r="Q4" t="s">
        <v>88</v>
      </c>
      <c r="R4" t="s">
        <v>4</v>
      </c>
      <c r="S4" t="s">
        <v>67</v>
      </c>
      <c r="T4">
        <v>51000</v>
      </c>
      <c r="U4">
        <v>44511</v>
      </c>
    </row>
    <row r="5" spans="1:21" x14ac:dyDescent="0.3">
      <c r="A5" s="38">
        <v>117</v>
      </c>
      <c r="B5" s="38" t="s">
        <v>87</v>
      </c>
      <c r="C5" s="38" t="s">
        <v>69</v>
      </c>
      <c r="D5" s="38" t="s">
        <v>64</v>
      </c>
      <c r="E5" s="38">
        <v>70000</v>
      </c>
      <c r="F5" s="39">
        <v>43967</v>
      </c>
      <c r="G5" s="40" t="str">
        <f>EmpData[[#This Row],[Name]]&amp;" "&amp;EmpData[[#This Row],[Department]]</f>
        <v>James Finance</v>
      </c>
      <c r="K5">
        <v>117</v>
      </c>
      <c r="L5">
        <f>VLOOKUP(K5,EmpData[#All],1,FALSE)</f>
        <v>117</v>
      </c>
      <c r="M5">
        <f t="shared" si="0"/>
        <v>117</v>
      </c>
      <c r="P5">
        <v>117</v>
      </c>
      <c r="Q5" t="s">
        <v>87</v>
      </c>
      <c r="R5" t="s">
        <v>69</v>
      </c>
      <c r="S5" t="s">
        <v>64</v>
      </c>
      <c r="T5">
        <v>70000</v>
      </c>
      <c r="U5">
        <v>43967</v>
      </c>
    </row>
    <row r="6" spans="1:21" x14ac:dyDescent="0.3">
      <c r="A6" s="38">
        <v>116</v>
      </c>
      <c r="B6" s="38" t="s">
        <v>86</v>
      </c>
      <c r="C6" s="38" t="s">
        <v>8</v>
      </c>
      <c r="D6" s="38" t="s">
        <v>62</v>
      </c>
      <c r="E6" s="38">
        <v>62000</v>
      </c>
      <c r="F6" s="39">
        <v>44781</v>
      </c>
      <c r="G6" s="40" t="str">
        <f>EmpData[[#This Row],[Name]]&amp;" "&amp;EmpData[[#This Row],[Department]]</f>
        <v>Ella HR</v>
      </c>
      <c r="K6">
        <v>116</v>
      </c>
      <c r="L6">
        <f>VLOOKUP(K6,EmpData[#All],1,FALSE)</f>
        <v>116</v>
      </c>
      <c r="M6">
        <f t="shared" si="0"/>
        <v>116</v>
      </c>
      <c r="P6">
        <v>116</v>
      </c>
      <c r="Q6" t="s">
        <v>86</v>
      </c>
      <c r="R6" t="s">
        <v>8</v>
      </c>
      <c r="S6" t="s">
        <v>62</v>
      </c>
      <c r="T6">
        <v>62000</v>
      </c>
      <c r="U6">
        <v>44781</v>
      </c>
    </row>
    <row r="7" spans="1:21" x14ac:dyDescent="0.3">
      <c r="A7" s="38">
        <v>115</v>
      </c>
      <c r="B7" s="38" t="s">
        <v>85</v>
      </c>
      <c r="C7" s="38" t="s">
        <v>66</v>
      </c>
      <c r="D7" s="38" t="s">
        <v>78</v>
      </c>
      <c r="E7" s="38">
        <v>81000</v>
      </c>
      <c r="F7" s="39">
        <v>44223</v>
      </c>
      <c r="G7" s="40" t="str">
        <f>EmpData[[#This Row],[Name]]&amp;" "&amp;EmpData[[#This Row],[Department]]</f>
        <v>Logan IT</v>
      </c>
      <c r="K7">
        <v>115</v>
      </c>
      <c r="L7">
        <f>VLOOKUP(K7,EmpData[#All],1,FALSE)</f>
        <v>115</v>
      </c>
      <c r="M7">
        <f t="shared" si="0"/>
        <v>115</v>
      </c>
      <c r="P7">
        <v>115</v>
      </c>
      <c r="Q7" t="s">
        <v>85</v>
      </c>
      <c r="R7" t="s">
        <v>66</v>
      </c>
      <c r="S7" t="s">
        <v>78</v>
      </c>
      <c r="T7">
        <v>81000</v>
      </c>
      <c r="U7">
        <v>44223</v>
      </c>
    </row>
    <row r="8" spans="1:21" x14ac:dyDescent="0.3">
      <c r="A8" s="38">
        <v>114</v>
      </c>
      <c r="B8" s="38" t="s">
        <v>84</v>
      </c>
      <c r="C8" s="38" t="s">
        <v>4</v>
      </c>
      <c r="D8" s="38" t="s">
        <v>76</v>
      </c>
      <c r="E8" s="38">
        <v>53000</v>
      </c>
      <c r="F8" s="39">
        <v>45126</v>
      </c>
      <c r="G8" s="40" t="str">
        <f>EmpData[[#This Row],[Name]]&amp;" "&amp;EmpData[[#This Row],[Department]]</f>
        <v>Amelia Sales</v>
      </c>
      <c r="K8">
        <v>114</v>
      </c>
      <c r="L8">
        <f>VLOOKUP(K8,EmpData[#All],1,FALSE)</f>
        <v>114</v>
      </c>
      <c r="M8">
        <f t="shared" si="0"/>
        <v>114</v>
      </c>
      <c r="P8">
        <v>114</v>
      </c>
      <c r="Q8" t="s">
        <v>84</v>
      </c>
      <c r="R8" t="s">
        <v>4</v>
      </c>
      <c r="S8" t="s">
        <v>76</v>
      </c>
      <c r="T8">
        <v>53000</v>
      </c>
      <c r="U8">
        <v>45126</v>
      </c>
    </row>
    <row r="9" spans="1:21" x14ac:dyDescent="0.3">
      <c r="A9" s="38">
        <v>113</v>
      </c>
      <c r="B9" s="38" t="s">
        <v>83</v>
      </c>
      <c r="C9" s="38" t="s">
        <v>69</v>
      </c>
      <c r="D9" s="38" t="s">
        <v>74</v>
      </c>
      <c r="E9" s="38">
        <v>68000</v>
      </c>
      <c r="F9" s="39">
        <v>43893</v>
      </c>
      <c r="G9" s="40" t="str">
        <f>EmpData[[#This Row],[Name]]&amp;" "&amp;EmpData[[#This Row],[Department]]</f>
        <v>Lucas Finance</v>
      </c>
      <c r="K9">
        <v>113</v>
      </c>
      <c r="L9">
        <f>VLOOKUP(K9,EmpData[#All],1,FALSE)</f>
        <v>113</v>
      </c>
      <c r="M9">
        <f t="shared" si="0"/>
        <v>113</v>
      </c>
      <c r="P9">
        <v>113</v>
      </c>
      <c r="Q9" t="s">
        <v>83</v>
      </c>
      <c r="R9" t="s">
        <v>69</v>
      </c>
      <c r="S9" t="s">
        <v>74</v>
      </c>
      <c r="T9">
        <v>68000</v>
      </c>
      <c r="U9">
        <v>43893</v>
      </c>
    </row>
    <row r="10" spans="1:21" x14ac:dyDescent="0.3">
      <c r="A10" s="38">
        <v>112</v>
      </c>
      <c r="B10" s="38" t="s">
        <v>82</v>
      </c>
      <c r="C10" s="38" t="s">
        <v>8</v>
      </c>
      <c r="D10" s="38" t="s">
        <v>70</v>
      </c>
      <c r="E10" s="38">
        <v>59000</v>
      </c>
      <c r="F10" s="39">
        <v>44856</v>
      </c>
      <c r="G10" s="40" t="str">
        <f>EmpData[[#This Row],[Name]]&amp;" "&amp;EmpData[[#This Row],[Department]]</f>
        <v>Olivia HR</v>
      </c>
      <c r="K10">
        <v>112</v>
      </c>
      <c r="L10">
        <f>VLOOKUP(K10,EmpData[#All],1,FALSE)</f>
        <v>112</v>
      </c>
      <c r="M10">
        <f t="shared" si="0"/>
        <v>112</v>
      </c>
      <c r="P10">
        <v>112</v>
      </c>
      <c r="Q10" t="s">
        <v>82</v>
      </c>
      <c r="R10" t="s">
        <v>8</v>
      </c>
      <c r="S10" t="s">
        <v>70</v>
      </c>
      <c r="T10">
        <v>59000</v>
      </c>
      <c r="U10">
        <v>44856</v>
      </c>
    </row>
    <row r="11" spans="1:21" x14ac:dyDescent="0.3">
      <c r="A11" s="38">
        <v>111</v>
      </c>
      <c r="B11" s="38" t="s">
        <v>81</v>
      </c>
      <c r="C11" s="38" t="s">
        <v>66</v>
      </c>
      <c r="D11" s="38" t="s">
        <v>72</v>
      </c>
      <c r="E11" s="38">
        <v>77000</v>
      </c>
      <c r="F11" s="39">
        <v>44361</v>
      </c>
      <c r="G11" s="40" t="str">
        <f>EmpData[[#This Row],[Name]]&amp;" "&amp;EmpData[[#This Row],[Department]]</f>
        <v>Ethan IT</v>
      </c>
      <c r="K11">
        <v>111</v>
      </c>
      <c r="L11">
        <f>VLOOKUP(K11,EmpData[#All],1,FALSE)</f>
        <v>111</v>
      </c>
      <c r="M11">
        <f t="shared" si="0"/>
        <v>111</v>
      </c>
      <c r="P11">
        <v>111</v>
      </c>
      <c r="Q11" t="s">
        <v>81</v>
      </c>
      <c r="R11" t="s">
        <v>66</v>
      </c>
      <c r="S11" t="s">
        <v>72</v>
      </c>
      <c r="T11">
        <v>77000</v>
      </c>
      <c r="U11">
        <v>44361</v>
      </c>
    </row>
    <row r="12" spans="1:21" x14ac:dyDescent="0.3">
      <c r="A12" s="38">
        <v>110</v>
      </c>
      <c r="B12" s="38" t="s">
        <v>80</v>
      </c>
      <c r="C12" s="38" t="s">
        <v>4</v>
      </c>
      <c r="D12" s="38" t="s">
        <v>64</v>
      </c>
      <c r="E12" s="38">
        <v>52000</v>
      </c>
      <c r="F12" s="39">
        <v>45017</v>
      </c>
      <c r="G12" s="40" t="str">
        <f>EmpData[[#This Row],[Name]]&amp;" "&amp;EmpData[[#This Row],[Department]]</f>
        <v>Mia Sales</v>
      </c>
      <c r="K12">
        <v>110</v>
      </c>
      <c r="L12">
        <f>VLOOKUP(K12,EmpData[#All],1,FALSE)</f>
        <v>110</v>
      </c>
      <c r="M12">
        <f t="shared" si="0"/>
        <v>110</v>
      </c>
      <c r="P12">
        <v>110</v>
      </c>
      <c r="Q12" t="s">
        <v>80</v>
      </c>
      <c r="R12" t="s">
        <v>4</v>
      </c>
      <c r="S12" t="s">
        <v>64</v>
      </c>
      <c r="T12">
        <v>52000</v>
      </c>
      <c r="U12">
        <v>45017</v>
      </c>
    </row>
    <row r="13" spans="1:21" x14ac:dyDescent="0.3">
      <c r="A13" s="38">
        <v>109</v>
      </c>
      <c r="B13" s="38" t="s">
        <v>79</v>
      </c>
      <c r="C13" s="38" t="s">
        <v>66</v>
      </c>
      <c r="D13" s="38" t="s">
        <v>67</v>
      </c>
      <c r="E13" s="38">
        <v>80000</v>
      </c>
      <c r="F13" s="39">
        <v>43811</v>
      </c>
      <c r="G13" s="40" t="str">
        <f>EmpData[[#This Row],[Name]]&amp;" "&amp;EmpData[[#This Row],[Department]]</f>
        <v>Mason IT</v>
      </c>
      <c r="K13">
        <v>109</v>
      </c>
      <c r="L13">
        <f>VLOOKUP(K13,EmpData[#All],1,FALSE)</f>
        <v>109</v>
      </c>
      <c r="M13">
        <f t="shared" si="0"/>
        <v>109</v>
      </c>
      <c r="P13">
        <v>109</v>
      </c>
      <c r="Q13" t="s">
        <v>79</v>
      </c>
      <c r="R13" t="s">
        <v>66</v>
      </c>
      <c r="S13" t="s">
        <v>67</v>
      </c>
      <c r="T13">
        <v>80000</v>
      </c>
      <c r="U13">
        <v>43811</v>
      </c>
    </row>
    <row r="14" spans="1:21" x14ac:dyDescent="0.3">
      <c r="A14" s="38">
        <v>108</v>
      </c>
      <c r="B14" s="38" t="s">
        <v>77</v>
      </c>
      <c r="C14" s="38" t="s">
        <v>69</v>
      </c>
      <c r="D14" s="38" t="s">
        <v>78</v>
      </c>
      <c r="E14" s="38">
        <v>67000</v>
      </c>
      <c r="F14" s="39">
        <v>44809</v>
      </c>
      <c r="G14" s="40" t="str">
        <f>EmpData[[#This Row],[Name]]&amp;" "&amp;EmpData[[#This Row],[Department]]</f>
        <v>Sophia Finance</v>
      </c>
      <c r="K14">
        <v>108</v>
      </c>
      <c r="L14">
        <f>VLOOKUP(K14,EmpData[#All],1,FALSE)</f>
        <v>108</v>
      </c>
      <c r="M14">
        <f t="shared" si="0"/>
        <v>108</v>
      </c>
      <c r="P14">
        <v>108</v>
      </c>
      <c r="Q14" t="s">
        <v>77</v>
      </c>
      <c r="R14" t="s">
        <v>69</v>
      </c>
      <c r="S14" t="s">
        <v>78</v>
      </c>
      <c r="T14">
        <v>67000</v>
      </c>
      <c r="U14">
        <v>44809</v>
      </c>
    </row>
    <row r="15" spans="1:21" x14ac:dyDescent="0.3">
      <c r="A15" s="38">
        <v>107</v>
      </c>
      <c r="B15" s="38" t="s">
        <v>75</v>
      </c>
      <c r="C15" s="38" t="s">
        <v>8</v>
      </c>
      <c r="D15" s="38" t="s">
        <v>76</v>
      </c>
      <c r="E15" s="38">
        <v>61000</v>
      </c>
      <c r="F15" s="39">
        <v>44165</v>
      </c>
      <c r="G15" s="40" t="str">
        <f>EmpData[[#This Row],[Name]]&amp;" "&amp;EmpData[[#This Row],[Department]]</f>
        <v>Ava HR</v>
      </c>
      <c r="K15">
        <v>107</v>
      </c>
      <c r="L15">
        <f>VLOOKUP(K15,EmpData[#All],1,FALSE)</f>
        <v>107</v>
      </c>
      <c r="M15">
        <f t="shared" si="0"/>
        <v>107</v>
      </c>
      <c r="P15">
        <v>107</v>
      </c>
      <c r="Q15" t="s">
        <v>75</v>
      </c>
      <c r="R15" t="s">
        <v>8</v>
      </c>
      <c r="S15" t="s">
        <v>76</v>
      </c>
      <c r="T15">
        <v>61000</v>
      </c>
      <c r="U15">
        <v>44165</v>
      </c>
    </row>
    <row r="16" spans="1:21" x14ac:dyDescent="0.3">
      <c r="A16" s="38">
        <v>106</v>
      </c>
      <c r="B16" s="38" t="s">
        <v>73</v>
      </c>
      <c r="C16" s="38" t="s">
        <v>4</v>
      </c>
      <c r="D16" s="38" t="s">
        <v>74</v>
      </c>
      <c r="E16" s="38">
        <v>48000</v>
      </c>
      <c r="F16" s="39">
        <v>44433</v>
      </c>
      <c r="G16" s="40" t="str">
        <f>EmpData[[#This Row],[Name]]&amp;" "&amp;EmpData[[#This Row],[Department]]</f>
        <v>Noah Sales</v>
      </c>
      <c r="K16">
        <v>106</v>
      </c>
      <c r="L16">
        <f>VLOOKUP(K16,EmpData[#All],1,FALSE)</f>
        <v>106</v>
      </c>
      <c r="M16">
        <f t="shared" si="0"/>
        <v>106</v>
      </c>
      <c r="P16">
        <v>106</v>
      </c>
      <c r="Q16" t="s">
        <v>73</v>
      </c>
      <c r="R16" t="s">
        <v>4</v>
      </c>
      <c r="S16" t="s">
        <v>74</v>
      </c>
      <c r="T16">
        <v>48000</v>
      </c>
      <c r="U16">
        <v>44433</v>
      </c>
    </row>
    <row r="17" spans="1:21" x14ac:dyDescent="0.3">
      <c r="A17" s="38">
        <v>105</v>
      </c>
      <c r="B17" s="38" t="s">
        <v>71</v>
      </c>
      <c r="C17" s="38" t="s">
        <v>66</v>
      </c>
      <c r="D17" s="38" t="s">
        <v>72</v>
      </c>
      <c r="E17" s="38">
        <v>72000</v>
      </c>
      <c r="F17" s="39">
        <v>44699</v>
      </c>
      <c r="G17" s="40" t="str">
        <f>EmpData[[#This Row],[Name]]&amp;" "&amp;EmpData[[#This Row],[Department]]</f>
        <v>Liam IT</v>
      </c>
      <c r="K17">
        <v>105</v>
      </c>
      <c r="L17">
        <f>VLOOKUP(K17,EmpData[#All],1,FALSE)</f>
        <v>105</v>
      </c>
      <c r="M17">
        <f t="shared" si="0"/>
        <v>105</v>
      </c>
      <c r="P17">
        <v>105</v>
      </c>
      <c r="Q17" t="s">
        <v>71</v>
      </c>
      <c r="R17" t="s">
        <v>66</v>
      </c>
      <c r="S17" t="s">
        <v>72</v>
      </c>
      <c r="T17">
        <v>72000</v>
      </c>
      <c r="U17">
        <v>44699</v>
      </c>
    </row>
    <row r="18" spans="1:21" x14ac:dyDescent="0.3">
      <c r="A18" s="38">
        <v>104</v>
      </c>
      <c r="B18" s="38" t="s">
        <v>68</v>
      </c>
      <c r="C18" s="38" t="s">
        <v>69</v>
      </c>
      <c r="D18" s="38" t="s">
        <v>70</v>
      </c>
      <c r="E18" s="38">
        <v>65000</v>
      </c>
      <c r="F18" s="39">
        <v>44967</v>
      </c>
      <c r="G18" s="40" t="str">
        <f>EmpData[[#This Row],[Name]]&amp;" "&amp;EmpData[[#This Row],[Department]]</f>
        <v>Emma Finance</v>
      </c>
      <c r="K18">
        <v>104</v>
      </c>
      <c r="L18">
        <f>VLOOKUP(K18,EmpData[#All],1,FALSE)</f>
        <v>104</v>
      </c>
      <c r="M18">
        <f t="shared" si="0"/>
        <v>104</v>
      </c>
      <c r="P18">
        <v>104</v>
      </c>
      <c r="Q18" t="s">
        <v>68</v>
      </c>
      <c r="R18" t="s">
        <v>69</v>
      </c>
      <c r="S18" t="s">
        <v>70</v>
      </c>
      <c r="T18">
        <v>65000</v>
      </c>
      <c r="U18">
        <v>44967</v>
      </c>
    </row>
    <row r="19" spans="1:21" x14ac:dyDescent="0.3">
      <c r="A19" s="38">
        <v>103</v>
      </c>
      <c r="B19" s="38" t="s">
        <v>65</v>
      </c>
      <c r="C19" s="38" t="s">
        <v>66</v>
      </c>
      <c r="D19" s="38" t="s">
        <v>67</v>
      </c>
      <c r="E19" s="38">
        <v>75000</v>
      </c>
      <c r="F19" s="39">
        <v>44032</v>
      </c>
      <c r="G19" s="40" t="str">
        <f>EmpData[[#This Row],[Name]]&amp;" "&amp;EmpData[[#This Row],[Department]]</f>
        <v>Bob IT</v>
      </c>
      <c r="K19">
        <v>103</v>
      </c>
      <c r="L19">
        <f>VLOOKUP(K19,EmpData[#All],1,FALSE)</f>
        <v>103</v>
      </c>
      <c r="M19">
        <f t="shared" si="0"/>
        <v>103</v>
      </c>
      <c r="P19">
        <v>103</v>
      </c>
      <c r="Q19" t="s">
        <v>65</v>
      </c>
      <c r="R19" t="s">
        <v>66</v>
      </c>
      <c r="S19" t="s">
        <v>67</v>
      </c>
      <c r="T19">
        <v>75000</v>
      </c>
      <c r="U19">
        <v>44032</v>
      </c>
    </row>
    <row r="20" spans="1:21" x14ac:dyDescent="0.3">
      <c r="A20" s="38">
        <v>102</v>
      </c>
      <c r="B20" s="38" t="s">
        <v>63</v>
      </c>
      <c r="C20" s="38" t="s">
        <v>8</v>
      </c>
      <c r="D20" s="38" t="s">
        <v>64</v>
      </c>
      <c r="E20" s="38">
        <v>60000</v>
      </c>
      <c r="F20" s="39">
        <v>44270</v>
      </c>
      <c r="G20" s="40" t="str">
        <f>EmpData[[#This Row],[Name]]&amp;" "&amp;EmpData[[#This Row],[Department]]</f>
        <v>Alice HR</v>
      </c>
      <c r="K20">
        <v>102</v>
      </c>
      <c r="L20">
        <f>VLOOKUP(K20,EmpData[#All],1,FALSE)</f>
        <v>102</v>
      </c>
      <c r="M20">
        <f t="shared" si="0"/>
        <v>102</v>
      </c>
      <c r="P20">
        <v>102</v>
      </c>
      <c r="Q20" t="s">
        <v>63</v>
      </c>
      <c r="R20" t="s">
        <v>8</v>
      </c>
      <c r="S20" t="s">
        <v>64</v>
      </c>
      <c r="T20">
        <v>60000</v>
      </c>
      <c r="U20">
        <v>44270</v>
      </c>
    </row>
    <row r="21" spans="1:21" x14ac:dyDescent="0.3">
      <c r="A21" s="38">
        <v>101</v>
      </c>
      <c r="B21" s="38" t="s">
        <v>61</v>
      </c>
      <c r="C21" s="38" t="s">
        <v>4</v>
      </c>
      <c r="D21" s="38" t="s">
        <v>62</v>
      </c>
      <c r="E21" s="38">
        <v>50000</v>
      </c>
      <c r="F21" s="39">
        <v>44573</v>
      </c>
      <c r="G21" s="40" t="str">
        <f>EmpData[[#This Row],[Name]]&amp;" "&amp;EmpData[[#This Row],[Department]]</f>
        <v>John Sales</v>
      </c>
      <c r="K21">
        <v>101</v>
      </c>
      <c r="L21">
        <f>VLOOKUP(K21,EmpData[#All],1,FALSE)</f>
        <v>101</v>
      </c>
      <c r="M21">
        <f t="shared" si="0"/>
        <v>101</v>
      </c>
      <c r="P21">
        <v>101</v>
      </c>
      <c r="Q21" t="s">
        <v>61</v>
      </c>
      <c r="R21" t="s">
        <v>4</v>
      </c>
      <c r="S21" t="s">
        <v>62</v>
      </c>
      <c r="T21">
        <v>50000</v>
      </c>
      <c r="U21">
        <v>44573</v>
      </c>
    </row>
    <row r="22" spans="1:21" x14ac:dyDescent="0.3">
      <c r="A22" s="40">
        <v>110</v>
      </c>
      <c r="B22" s="40"/>
      <c r="C22" s="40"/>
      <c r="D22" s="40"/>
      <c r="E22" s="40"/>
      <c r="F22" s="41"/>
      <c r="G22" s="40" t="str">
        <f>EmpData[[#This Row],[Name]]&amp;" "&amp;EmpData[[#This Row],[Department]]</f>
        <v xml:space="preserve"> </v>
      </c>
      <c r="K22">
        <v>110</v>
      </c>
      <c r="L22">
        <f>VLOOKUP(K22,EmpData[#All],1,FALSE)</f>
        <v>110</v>
      </c>
      <c r="M22">
        <f t="shared" si="0"/>
        <v>110</v>
      </c>
      <c r="P22">
        <v>110</v>
      </c>
    </row>
    <row r="23" spans="1:21" x14ac:dyDescent="0.3">
      <c r="A23" s="40">
        <v>111</v>
      </c>
      <c r="B23" s="40"/>
      <c r="C23" s="40"/>
      <c r="D23" s="40"/>
      <c r="E23" s="40"/>
      <c r="F23" s="41"/>
      <c r="G23" s="40" t="str">
        <f>EmpData[[#This Row],[Name]]&amp;" "&amp;EmpData[[#This Row],[Department]]</f>
        <v xml:space="preserve"> </v>
      </c>
      <c r="K23">
        <v>111</v>
      </c>
      <c r="L23">
        <f>VLOOKUP(K23,EmpData[#All],1,FALSE)</f>
        <v>111</v>
      </c>
      <c r="M23">
        <f t="shared" si="0"/>
        <v>111</v>
      </c>
      <c r="P23">
        <v>111</v>
      </c>
    </row>
    <row r="24" spans="1:21" x14ac:dyDescent="0.3">
      <c r="A24" s="40">
        <v>142</v>
      </c>
      <c r="B24" s="40"/>
      <c r="C24" s="40"/>
      <c r="D24" s="40"/>
      <c r="E24" s="40"/>
      <c r="F24" s="41"/>
      <c r="G24" s="40" t="str">
        <f>EmpData[[#This Row],[Name]]&amp;" "&amp;EmpData[[#This Row],[Department]]</f>
        <v xml:space="preserve"> </v>
      </c>
      <c r="K24">
        <v>142</v>
      </c>
      <c r="L24">
        <f>VLOOKUP(K24,EmpData[#All],1,FALSE)</f>
        <v>142</v>
      </c>
      <c r="M24">
        <f t="shared" si="0"/>
        <v>142</v>
      </c>
      <c r="P24">
        <v>142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topLeftCell="A2" zoomScale="130" zoomScaleNormal="130" workbookViewId="0">
      <selection activeCell="J13" sqref="J13"/>
    </sheetView>
  </sheetViews>
  <sheetFormatPr defaultRowHeight="14.4" x14ac:dyDescent="0.3"/>
  <cols>
    <col min="1" max="1" width="4" bestFit="1" customWidth="1"/>
    <col min="2" max="2" width="8.6640625" bestFit="1" customWidth="1"/>
    <col min="3" max="3" width="8.33203125" bestFit="1" customWidth="1"/>
    <col min="5" max="5" width="6.109375" bestFit="1" customWidth="1"/>
    <col min="6" max="6" width="5.109375" bestFit="1" customWidth="1"/>
    <col min="7" max="8" width="10.33203125" bestFit="1" customWidth="1"/>
    <col min="12" max="12" width="8.5546875" bestFit="1" customWidth="1"/>
    <col min="15" max="15" width="10.88671875" bestFit="1" customWidth="1"/>
    <col min="16" max="16" width="9.44140625" bestFit="1" customWidth="1"/>
  </cols>
  <sheetData>
    <row r="1" spans="1:16" ht="28.8" x14ac:dyDescent="0.3">
      <c r="A1" s="6" t="s">
        <v>56</v>
      </c>
      <c r="B1" s="6" t="s">
        <v>57</v>
      </c>
      <c r="C1" s="6" t="s">
        <v>58</v>
      </c>
      <c r="D1" s="6" t="s">
        <v>59</v>
      </c>
      <c r="E1" s="6" t="s">
        <v>3</v>
      </c>
      <c r="F1" s="6" t="s">
        <v>92</v>
      </c>
      <c r="G1" s="6" t="s">
        <v>95</v>
      </c>
      <c r="H1" s="6" t="s">
        <v>60</v>
      </c>
      <c r="L1" t="s">
        <v>91</v>
      </c>
      <c r="M1" s="6" t="s">
        <v>59</v>
      </c>
      <c r="O1" t="s">
        <v>93</v>
      </c>
      <c r="P1" t="s">
        <v>94</v>
      </c>
    </row>
    <row r="2" spans="1:16" x14ac:dyDescent="0.3">
      <c r="A2" s="8">
        <v>120</v>
      </c>
      <c r="B2" s="8" t="s">
        <v>90</v>
      </c>
      <c r="C2" s="8" t="s">
        <v>8</v>
      </c>
      <c r="D2" s="8"/>
      <c r="E2" s="8"/>
      <c r="F2" s="8"/>
      <c r="G2" s="22"/>
      <c r="H2" s="9">
        <v>44083</v>
      </c>
      <c r="M2" s="8" t="s">
        <v>78</v>
      </c>
      <c r="O2" s="22">
        <v>46023</v>
      </c>
      <c r="P2" s="22">
        <v>46387</v>
      </c>
    </row>
    <row r="3" spans="1:16" x14ac:dyDescent="0.3">
      <c r="A3" s="8">
        <v>119</v>
      </c>
      <c r="B3" s="8" t="s">
        <v>89</v>
      </c>
      <c r="C3" s="8" t="s">
        <v>66</v>
      </c>
      <c r="D3" s="8"/>
      <c r="E3" s="8"/>
      <c r="H3" s="9">
        <v>44978</v>
      </c>
      <c r="M3" s="8" t="s">
        <v>78</v>
      </c>
    </row>
    <row r="4" spans="1:16" x14ac:dyDescent="0.3">
      <c r="A4" s="8">
        <v>118</v>
      </c>
      <c r="B4" s="8" t="s">
        <v>88</v>
      </c>
      <c r="C4" s="8" t="s">
        <v>4</v>
      </c>
      <c r="D4" s="8"/>
      <c r="E4" s="8"/>
      <c r="H4" s="9">
        <v>44511</v>
      </c>
      <c r="M4" s="8" t="s">
        <v>64</v>
      </c>
    </row>
    <row r="5" spans="1:16" x14ac:dyDescent="0.3">
      <c r="A5" s="8">
        <v>117</v>
      </c>
      <c r="B5" s="8" t="s">
        <v>87</v>
      </c>
      <c r="C5" s="8" t="s">
        <v>69</v>
      </c>
      <c r="D5" s="8"/>
      <c r="E5" s="8"/>
      <c r="G5" s="22"/>
      <c r="H5" s="9">
        <v>43967</v>
      </c>
      <c r="M5" s="8" t="s">
        <v>67</v>
      </c>
    </row>
    <row r="6" spans="1:16" x14ac:dyDescent="0.3">
      <c r="A6" s="8">
        <v>116</v>
      </c>
      <c r="B6" s="8" t="s">
        <v>86</v>
      </c>
      <c r="C6" s="8" t="s">
        <v>8</v>
      </c>
      <c r="D6" s="8"/>
      <c r="E6" s="8"/>
      <c r="H6" s="9">
        <v>44781</v>
      </c>
      <c r="M6" s="8" t="s">
        <v>76</v>
      </c>
    </row>
    <row r="7" spans="1:16" x14ac:dyDescent="0.3">
      <c r="A7" s="8">
        <v>115</v>
      </c>
      <c r="B7" s="8" t="s">
        <v>85</v>
      </c>
      <c r="C7" s="8" t="s">
        <v>66</v>
      </c>
      <c r="D7" s="8"/>
      <c r="E7" s="8"/>
      <c r="H7" s="9">
        <v>44223</v>
      </c>
      <c r="M7" s="8" t="s">
        <v>74</v>
      </c>
    </row>
    <row r="8" spans="1:16" x14ac:dyDescent="0.3">
      <c r="A8" s="8">
        <v>114</v>
      </c>
      <c r="B8" s="8" t="s">
        <v>84</v>
      </c>
      <c r="C8" s="8" t="s">
        <v>4</v>
      </c>
      <c r="D8" s="8"/>
      <c r="E8" s="8"/>
      <c r="H8" s="9">
        <v>45126</v>
      </c>
      <c r="M8" s="8" t="s">
        <v>62</v>
      </c>
    </row>
    <row r="9" spans="1:16" x14ac:dyDescent="0.3">
      <c r="A9" s="8">
        <v>113</v>
      </c>
      <c r="B9" s="8" t="s">
        <v>83</v>
      </c>
      <c r="C9" s="8" t="s">
        <v>69</v>
      </c>
      <c r="D9" s="8"/>
      <c r="E9" s="8"/>
      <c r="H9" s="9">
        <v>43893</v>
      </c>
      <c r="M9" s="8" t="s">
        <v>72</v>
      </c>
    </row>
    <row r="10" spans="1:16" x14ac:dyDescent="0.3">
      <c r="A10" s="8">
        <v>112</v>
      </c>
      <c r="B10" s="8" t="s">
        <v>82</v>
      </c>
      <c r="C10" s="8" t="s">
        <v>8</v>
      </c>
      <c r="D10" s="8"/>
      <c r="E10" s="8"/>
      <c r="H10" s="9">
        <v>44856</v>
      </c>
    </row>
    <row r="11" spans="1:16" x14ac:dyDescent="0.3">
      <c r="A11" s="8">
        <v>111</v>
      </c>
      <c r="B11" s="8" t="s">
        <v>81</v>
      </c>
      <c r="C11" s="8" t="s">
        <v>66</v>
      </c>
      <c r="D11" s="8"/>
      <c r="E11" s="8"/>
      <c r="H11" s="9">
        <v>44361</v>
      </c>
    </row>
    <row r="12" spans="1:16" x14ac:dyDescent="0.3">
      <c r="A12" s="8">
        <v>110</v>
      </c>
      <c r="B12" s="8" t="s">
        <v>80</v>
      </c>
      <c r="C12" s="8" t="s">
        <v>4</v>
      </c>
      <c r="D12" s="8"/>
      <c r="E12" s="8"/>
      <c r="H12" s="9">
        <v>45017</v>
      </c>
    </row>
    <row r="13" spans="1:16" x14ac:dyDescent="0.3">
      <c r="A13" s="8">
        <v>109</v>
      </c>
      <c r="B13" s="8" t="s">
        <v>79</v>
      </c>
      <c r="C13" s="8" t="s">
        <v>66</v>
      </c>
      <c r="D13" s="8"/>
      <c r="E13" s="8"/>
      <c r="H13" s="9">
        <v>43811</v>
      </c>
    </row>
    <row r="14" spans="1:16" x14ac:dyDescent="0.3">
      <c r="A14" s="8">
        <v>108</v>
      </c>
      <c r="B14" s="8" t="s">
        <v>77</v>
      </c>
      <c r="C14" s="8" t="s">
        <v>69</v>
      </c>
      <c r="D14" s="8"/>
      <c r="E14" s="8"/>
      <c r="H14" s="9">
        <v>44809</v>
      </c>
    </row>
    <row r="15" spans="1:16" x14ac:dyDescent="0.3">
      <c r="A15" s="8">
        <v>107</v>
      </c>
      <c r="B15" s="8" t="s">
        <v>75</v>
      </c>
      <c r="C15" s="8" t="s">
        <v>8</v>
      </c>
      <c r="D15" s="8"/>
      <c r="E15" s="8"/>
      <c r="H15" s="9">
        <v>44165</v>
      </c>
    </row>
    <row r="16" spans="1:16" x14ac:dyDescent="0.3">
      <c r="A16" s="8">
        <v>106</v>
      </c>
      <c r="B16" s="8" t="s">
        <v>73</v>
      </c>
      <c r="C16" s="8" t="s">
        <v>4</v>
      </c>
      <c r="D16" s="8"/>
      <c r="E16" s="8"/>
      <c r="H16" s="9">
        <v>44433</v>
      </c>
    </row>
    <row r="17" spans="1:8" x14ac:dyDescent="0.3">
      <c r="A17" s="8">
        <v>105</v>
      </c>
      <c r="B17" s="8" t="s">
        <v>71</v>
      </c>
      <c r="C17" s="8" t="s">
        <v>66</v>
      </c>
      <c r="D17" s="8"/>
      <c r="E17" s="8"/>
      <c r="H17" s="9">
        <v>44699</v>
      </c>
    </row>
    <row r="18" spans="1:8" x14ac:dyDescent="0.3">
      <c r="A18" s="8">
        <v>104</v>
      </c>
      <c r="B18" s="8" t="s">
        <v>68</v>
      </c>
      <c r="C18" s="8" t="s">
        <v>69</v>
      </c>
      <c r="D18" s="8"/>
      <c r="E18" s="8"/>
      <c r="H18" s="9">
        <v>44967</v>
      </c>
    </row>
    <row r="19" spans="1:8" x14ac:dyDescent="0.3">
      <c r="A19" s="8">
        <v>103</v>
      </c>
      <c r="B19" s="8" t="s">
        <v>65</v>
      </c>
      <c r="C19" s="8" t="s">
        <v>66</v>
      </c>
      <c r="D19" s="8"/>
      <c r="E19" s="8"/>
      <c r="H19" s="9">
        <v>44032</v>
      </c>
    </row>
    <row r="20" spans="1:8" x14ac:dyDescent="0.3">
      <c r="A20" s="8">
        <v>102</v>
      </c>
      <c r="B20" s="8" t="s">
        <v>63</v>
      </c>
      <c r="C20" s="8" t="s">
        <v>8</v>
      </c>
      <c r="D20" s="8"/>
      <c r="E20" s="8"/>
      <c r="H20" s="9">
        <v>44270</v>
      </c>
    </row>
    <row r="21" spans="1:8" x14ac:dyDescent="0.3">
      <c r="A21" s="8">
        <v>101</v>
      </c>
      <c r="B21" s="8" t="s">
        <v>61</v>
      </c>
      <c r="C21" s="8" t="s">
        <v>4</v>
      </c>
      <c r="D21" s="8"/>
      <c r="E21" s="8"/>
      <c r="H21" s="9">
        <v>44573</v>
      </c>
    </row>
  </sheetData>
  <sortState ref="M2:M9">
    <sortCondition ref="M1"/>
  </sortState>
  <dataValidations count="5">
    <dataValidation type="list" allowBlank="1" showInputMessage="1" showErrorMessage="1" sqref="M1:M9">
      <formula1>$M$1:$M$9</formula1>
    </dataValidation>
    <dataValidation type="textLength" allowBlank="1" showInputMessage="1" showErrorMessage="1" sqref="F2:F21">
      <formula1>3</formula1>
      <formula2>4</formula2>
    </dataValidation>
    <dataValidation type="date" allowBlank="1" showInputMessage="1" showErrorMessage="1" sqref="G2:G21">
      <formula1>46023</formula1>
      <formula2>46387</formula2>
    </dataValidation>
    <dataValidation type="whole" allowBlank="1" showInputMessage="1" showErrorMessage="1" errorTitle="Pls Check" error="Pls Select Salary Range From 5000 to 15000" sqref="E2:E21">
      <formula1>5000</formula1>
      <formula2>15000</formula2>
    </dataValidation>
    <dataValidation type="list" allowBlank="1" showInputMessage="1" showErrorMessage="1" error="Pls select from _x000a_Austin,_x000a_Boston,_x000a_Chicago,_x000a_Dallas,_x000a_Denvar,_x000a_Miami,_x000a_New York,_x000a_Seattel..." sqref="D2:D21">
      <formula1>$M$2:$M$9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E2" sqref="E2"/>
    </sheetView>
  </sheetViews>
  <sheetFormatPr defaultRowHeight="14.4" x14ac:dyDescent="0.3"/>
  <cols>
    <col min="1" max="1" width="7.21875" style="1" bestFit="1" customWidth="1"/>
    <col min="2" max="2" width="10.44140625" style="1" bestFit="1" customWidth="1"/>
    <col min="3" max="3" width="15.5546875" style="1" bestFit="1" customWidth="1"/>
    <col min="4" max="5" width="8.88671875" style="1"/>
    <col min="6" max="6" width="10.5546875" style="1" bestFit="1" customWidth="1"/>
    <col min="7" max="7" width="13.109375" style="1" bestFit="1" customWidth="1"/>
    <col min="8" max="8" width="9.5546875" style="1" bestFit="1" customWidth="1"/>
    <col min="9" max="11" width="8.88671875" style="1"/>
    <col min="12" max="12" width="9.77734375" style="1" bestFit="1" customWidth="1"/>
    <col min="13" max="13" width="13.21875" style="1" bestFit="1" customWidth="1"/>
    <col min="14" max="16384" width="8.88671875" style="1"/>
  </cols>
  <sheetData>
    <row r="1" spans="1:13" x14ac:dyDescent="0.3">
      <c r="A1" s="43" t="s">
        <v>56</v>
      </c>
      <c r="B1" s="43" t="s">
        <v>57</v>
      </c>
      <c r="C1" s="43" t="s">
        <v>58</v>
      </c>
      <c r="D1" s="43" t="s">
        <v>59</v>
      </c>
      <c r="E1" s="43" t="s">
        <v>198</v>
      </c>
      <c r="F1" s="43" t="s">
        <v>3</v>
      </c>
      <c r="G1" s="43" t="s">
        <v>60</v>
      </c>
      <c r="H1" s="43" t="s">
        <v>130</v>
      </c>
      <c r="L1" s="1" t="s">
        <v>199</v>
      </c>
    </row>
    <row r="2" spans="1:13" x14ac:dyDescent="0.3">
      <c r="A2" s="44">
        <v>101</v>
      </c>
      <c r="B2" s="44" t="s">
        <v>61</v>
      </c>
      <c r="C2" s="44" t="s">
        <v>4</v>
      </c>
      <c r="D2" s="44" t="s">
        <v>62</v>
      </c>
      <c r="E2" s="44">
        <v>20</v>
      </c>
      <c r="F2" s="44">
        <v>50000</v>
      </c>
      <c r="G2" s="45">
        <v>44573</v>
      </c>
      <c r="H2" s="47" t="s">
        <v>128</v>
      </c>
      <c r="L2" s="1" t="s">
        <v>200</v>
      </c>
    </row>
    <row r="3" spans="1:13" x14ac:dyDescent="0.3">
      <c r="A3" s="44">
        <v>102</v>
      </c>
      <c r="B3" s="44" t="s">
        <v>63</v>
      </c>
      <c r="C3" s="44" t="s">
        <v>8</v>
      </c>
      <c r="D3" s="44" t="s">
        <v>64</v>
      </c>
      <c r="E3" s="44">
        <v>21</v>
      </c>
      <c r="F3" s="44">
        <v>60000</v>
      </c>
      <c r="G3" s="45">
        <v>44270</v>
      </c>
      <c r="H3" s="46" t="s">
        <v>195</v>
      </c>
      <c r="L3" s="1" t="s">
        <v>201</v>
      </c>
    </row>
    <row r="4" spans="1:13" x14ac:dyDescent="0.3">
      <c r="A4" s="44">
        <v>103</v>
      </c>
      <c r="B4" s="44" t="s">
        <v>65</v>
      </c>
      <c r="C4" s="44" t="s">
        <v>66</v>
      </c>
      <c r="D4" s="44" t="s">
        <v>67</v>
      </c>
      <c r="E4" s="44">
        <v>22</v>
      </c>
      <c r="F4" s="44">
        <v>75000</v>
      </c>
      <c r="G4" s="45">
        <v>44032</v>
      </c>
      <c r="H4" s="48" t="s">
        <v>129</v>
      </c>
      <c r="L4" s="1" t="s">
        <v>202</v>
      </c>
    </row>
    <row r="5" spans="1:13" x14ac:dyDescent="0.3">
      <c r="A5" s="44">
        <v>104</v>
      </c>
      <c r="B5" s="44" t="s">
        <v>68</v>
      </c>
      <c r="C5" s="44" t="s">
        <v>69</v>
      </c>
      <c r="D5" s="44" t="s">
        <v>70</v>
      </c>
      <c r="E5" s="44">
        <v>23</v>
      </c>
      <c r="F5" s="44">
        <v>65000</v>
      </c>
      <c r="G5" s="45">
        <v>44967</v>
      </c>
      <c r="H5" s="47" t="s">
        <v>128</v>
      </c>
    </row>
    <row r="6" spans="1:13" x14ac:dyDescent="0.3">
      <c r="A6" s="44">
        <v>105</v>
      </c>
      <c r="B6" s="44" t="s">
        <v>71</v>
      </c>
      <c r="C6" s="44" t="s">
        <v>66</v>
      </c>
      <c r="D6" s="44" t="s">
        <v>72</v>
      </c>
      <c r="E6" s="44">
        <v>24</v>
      </c>
      <c r="F6" s="44">
        <v>72000</v>
      </c>
      <c r="G6" s="45">
        <v>44699</v>
      </c>
      <c r="H6" s="46" t="s">
        <v>127</v>
      </c>
      <c r="L6" s="1" t="s">
        <v>204</v>
      </c>
      <c r="M6" s="1" t="s">
        <v>203</v>
      </c>
    </row>
    <row r="7" spans="1:13" x14ac:dyDescent="0.3">
      <c r="A7" s="44">
        <v>106</v>
      </c>
      <c r="B7" s="44" t="s">
        <v>73</v>
      </c>
      <c r="C7" s="44" t="s">
        <v>4</v>
      </c>
      <c r="D7" s="44" t="s">
        <v>74</v>
      </c>
      <c r="E7" s="44">
        <v>25</v>
      </c>
      <c r="F7" s="44">
        <v>48000</v>
      </c>
      <c r="G7" s="45">
        <v>44433</v>
      </c>
      <c r="H7" s="48" t="s">
        <v>129</v>
      </c>
      <c r="M7" s="1" t="s">
        <v>196</v>
      </c>
    </row>
    <row r="8" spans="1:13" x14ac:dyDescent="0.3">
      <c r="A8" s="44">
        <v>107</v>
      </c>
      <c r="B8" s="44" t="s">
        <v>75</v>
      </c>
      <c r="C8" s="44" t="s">
        <v>8</v>
      </c>
      <c r="D8" s="44" t="s">
        <v>76</v>
      </c>
      <c r="E8" s="44">
        <v>26</v>
      </c>
      <c r="F8" s="44">
        <v>61000</v>
      </c>
      <c r="G8" s="45">
        <v>44165</v>
      </c>
      <c r="H8" s="47" t="s">
        <v>128</v>
      </c>
      <c r="M8" s="1" t="s">
        <v>197</v>
      </c>
    </row>
    <row r="9" spans="1:13" x14ac:dyDescent="0.3">
      <c r="A9" s="44">
        <v>108</v>
      </c>
      <c r="B9" s="44" t="s">
        <v>77</v>
      </c>
      <c r="C9" s="44" t="s">
        <v>69</v>
      </c>
      <c r="D9" s="46" t="s">
        <v>78</v>
      </c>
      <c r="E9" s="44">
        <v>27</v>
      </c>
      <c r="F9" s="44">
        <v>67000</v>
      </c>
      <c r="G9" s="45">
        <v>44809</v>
      </c>
      <c r="H9" s="46" t="s">
        <v>127</v>
      </c>
    </row>
    <row r="10" spans="1:13" x14ac:dyDescent="0.3">
      <c r="A10" s="44">
        <v>109</v>
      </c>
      <c r="B10" s="44" t="s">
        <v>79</v>
      </c>
      <c r="C10" s="44" t="s">
        <v>66</v>
      </c>
      <c r="D10" s="44" t="s">
        <v>67</v>
      </c>
      <c r="E10" s="44">
        <v>28</v>
      </c>
      <c r="F10" s="44">
        <v>80000</v>
      </c>
      <c r="G10" s="45">
        <v>43811</v>
      </c>
      <c r="H10" s="48" t="s">
        <v>129</v>
      </c>
    </row>
    <row r="11" spans="1:13" x14ac:dyDescent="0.3">
      <c r="A11" s="44">
        <v>110</v>
      </c>
      <c r="B11" s="44" t="s">
        <v>80</v>
      </c>
      <c r="C11" s="44" t="s">
        <v>4</v>
      </c>
      <c r="D11" s="44" t="s">
        <v>64</v>
      </c>
      <c r="E11" s="44">
        <v>29</v>
      </c>
      <c r="F11" s="44">
        <v>52000</v>
      </c>
      <c r="G11" s="45">
        <v>45017</v>
      </c>
      <c r="H11" s="47" t="s">
        <v>128</v>
      </c>
    </row>
  </sheetData>
  <autoFilter ref="A1:H11">
    <sortState ref="A2:H21">
      <sortCondition ref="A2:A2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A3" sqref="A3:H13"/>
    </sheetView>
  </sheetViews>
  <sheetFormatPr defaultRowHeight="14.4" x14ac:dyDescent="0.3"/>
  <cols>
    <col min="1" max="1" width="7.21875" style="1" bestFit="1" customWidth="1"/>
    <col min="2" max="2" width="10.44140625" style="1" bestFit="1" customWidth="1"/>
    <col min="3" max="3" width="15.5546875" style="1" bestFit="1" customWidth="1"/>
    <col min="4" max="5" width="8.88671875" style="1"/>
    <col min="6" max="6" width="10.5546875" style="1" bestFit="1" customWidth="1"/>
    <col min="7" max="7" width="13.109375" style="1" bestFit="1" customWidth="1"/>
    <col min="8" max="8" width="9.5546875" style="1" bestFit="1" customWidth="1"/>
    <col min="9" max="11" width="8.88671875" style="1"/>
    <col min="12" max="12" width="9.77734375" style="1" bestFit="1" customWidth="1"/>
    <col min="13" max="13" width="13.21875" style="1" bestFit="1" customWidth="1"/>
    <col min="14" max="15" width="8.88671875" style="1"/>
    <col min="16" max="16" width="12.88671875" style="1" bestFit="1" customWidth="1"/>
    <col min="17" max="16384" width="8.88671875" style="1"/>
  </cols>
  <sheetData>
    <row r="1" spans="1:16" x14ac:dyDescent="0.3">
      <c r="A1" s="55" t="s">
        <v>206</v>
      </c>
      <c r="B1" s="55"/>
      <c r="C1" s="55"/>
      <c r="D1" s="55"/>
      <c r="E1" s="55"/>
      <c r="P1" s="1" t="s">
        <v>207</v>
      </c>
    </row>
    <row r="3" spans="1:16" x14ac:dyDescent="0.3">
      <c r="A3" s="43" t="s">
        <v>56</v>
      </c>
      <c r="B3" s="43" t="s">
        <v>57</v>
      </c>
      <c r="C3" s="43" t="s">
        <v>58</v>
      </c>
      <c r="D3" s="43" t="s">
        <v>59</v>
      </c>
      <c r="E3" s="43" t="s">
        <v>198</v>
      </c>
      <c r="F3" s="43" t="s">
        <v>3</v>
      </c>
      <c r="G3" s="43" t="s">
        <v>60</v>
      </c>
      <c r="H3" s="43" t="s">
        <v>130</v>
      </c>
      <c r="L3" s="43" t="s">
        <v>59</v>
      </c>
      <c r="M3" s="43" t="s">
        <v>198</v>
      </c>
      <c r="N3" s="43" t="s">
        <v>3</v>
      </c>
    </row>
    <row r="4" spans="1:16" x14ac:dyDescent="0.3">
      <c r="A4" s="44">
        <v>101</v>
      </c>
      <c r="B4" s="44" t="s">
        <v>61</v>
      </c>
      <c r="C4" s="44" t="s">
        <v>4</v>
      </c>
      <c r="D4" s="44" t="s">
        <v>62</v>
      </c>
      <c r="E4" s="44">
        <v>20</v>
      </c>
      <c r="F4" s="44">
        <v>50000</v>
      </c>
      <c r="G4" s="45">
        <v>44573</v>
      </c>
      <c r="H4" s="47" t="s">
        <v>127</v>
      </c>
      <c r="L4" s="1" t="s">
        <v>205</v>
      </c>
      <c r="M4" s="1">
        <v>35</v>
      </c>
      <c r="N4" s="1">
        <v>65000</v>
      </c>
    </row>
    <row r="5" spans="1:16" x14ac:dyDescent="0.3">
      <c r="A5" s="44">
        <v>102</v>
      </c>
      <c r="B5" s="44" t="s">
        <v>63</v>
      </c>
      <c r="C5" s="44" t="s">
        <v>8</v>
      </c>
      <c r="D5" s="44" t="s">
        <v>64</v>
      </c>
      <c r="E5" s="44">
        <v>21</v>
      </c>
      <c r="F5" s="44">
        <v>60000</v>
      </c>
      <c r="G5" s="45">
        <v>44270</v>
      </c>
      <c r="H5" s="47" t="s">
        <v>128</v>
      </c>
    </row>
    <row r="6" spans="1:16" x14ac:dyDescent="0.3">
      <c r="A6" s="44">
        <v>103</v>
      </c>
      <c r="B6" s="44" t="s">
        <v>65</v>
      </c>
      <c r="C6" s="44" t="s">
        <v>66</v>
      </c>
      <c r="D6" s="44" t="s">
        <v>67</v>
      </c>
      <c r="E6" s="44">
        <v>22</v>
      </c>
      <c r="F6" s="44">
        <v>75000</v>
      </c>
      <c r="G6" s="45">
        <v>44032</v>
      </c>
      <c r="H6" s="48" t="s">
        <v>129</v>
      </c>
    </row>
    <row r="7" spans="1:16" x14ac:dyDescent="0.3">
      <c r="A7" s="44">
        <v>104</v>
      </c>
      <c r="B7" s="44" t="s">
        <v>68</v>
      </c>
      <c r="C7" s="44" t="s">
        <v>69</v>
      </c>
      <c r="D7" s="44" t="s">
        <v>70</v>
      </c>
      <c r="E7" s="44">
        <v>23</v>
      </c>
      <c r="F7" s="44">
        <v>65000</v>
      </c>
      <c r="G7" s="45">
        <v>44967</v>
      </c>
      <c r="H7" s="47" t="s">
        <v>128</v>
      </c>
    </row>
    <row r="8" spans="1:16" x14ac:dyDescent="0.3">
      <c r="A8" s="44">
        <v>105</v>
      </c>
      <c r="B8" s="44" t="s">
        <v>71</v>
      </c>
      <c r="C8" s="44" t="s">
        <v>66</v>
      </c>
      <c r="D8" s="44" t="s">
        <v>62</v>
      </c>
      <c r="E8" s="44">
        <v>24</v>
      </c>
      <c r="F8" s="44">
        <v>72000</v>
      </c>
      <c r="G8" s="45">
        <v>44699</v>
      </c>
      <c r="H8" s="46" t="s">
        <v>127</v>
      </c>
    </row>
    <row r="9" spans="1:16" x14ac:dyDescent="0.3">
      <c r="A9" s="44">
        <v>106</v>
      </c>
      <c r="B9" s="44" t="s">
        <v>73</v>
      </c>
      <c r="C9" s="44" t="s">
        <v>4</v>
      </c>
      <c r="D9" s="44" t="s">
        <v>74</v>
      </c>
      <c r="E9" s="44">
        <v>25</v>
      </c>
      <c r="F9" s="44">
        <v>48000</v>
      </c>
      <c r="G9" s="45">
        <v>44433</v>
      </c>
      <c r="H9" s="48" t="s">
        <v>129</v>
      </c>
    </row>
    <row r="10" spans="1:16" x14ac:dyDescent="0.3">
      <c r="A10" s="44">
        <v>107</v>
      </c>
      <c r="B10" s="44" t="s">
        <v>75</v>
      </c>
      <c r="C10" s="44" t="s">
        <v>8</v>
      </c>
      <c r="D10" s="44" t="s">
        <v>76</v>
      </c>
      <c r="E10" s="44">
        <v>26</v>
      </c>
      <c r="F10" s="44">
        <v>61000</v>
      </c>
      <c r="G10" s="45">
        <v>44165</v>
      </c>
      <c r="H10" s="47" t="s">
        <v>128</v>
      </c>
    </row>
    <row r="11" spans="1:16" x14ac:dyDescent="0.3">
      <c r="A11" s="44">
        <v>108</v>
      </c>
      <c r="B11" s="44" t="s">
        <v>77</v>
      </c>
      <c r="C11" s="44" t="s">
        <v>69</v>
      </c>
      <c r="D11" s="44" t="s">
        <v>78</v>
      </c>
      <c r="E11" s="44">
        <v>27</v>
      </c>
      <c r="F11" s="44">
        <v>67000</v>
      </c>
      <c r="G11" s="45">
        <v>44809</v>
      </c>
      <c r="H11" s="46" t="s">
        <v>127</v>
      </c>
    </row>
    <row r="12" spans="1:16" x14ac:dyDescent="0.3">
      <c r="A12" s="44">
        <v>109</v>
      </c>
      <c r="B12" s="44" t="s">
        <v>79</v>
      </c>
      <c r="C12" s="44" t="s">
        <v>66</v>
      </c>
      <c r="D12" s="44" t="s">
        <v>67</v>
      </c>
      <c r="E12" s="44">
        <v>28</v>
      </c>
      <c r="F12" s="44">
        <v>80000</v>
      </c>
      <c r="G12" s="45">
        <v>43811</v>
      </c>
      <c r="H12" s="48" t="s">
        <v>129</v>
      </c>
    </row>
    <row r="13" spans="1:16" x14ac:dyDescent="0.3">
      <c r="A13" s="44">
        <v>110</v>
      </c>
      <c r="B13" s="44" t="s">
        <v>80</v>
      </c>
      <c r="C13" s="44" t="s">
        <v>4</v>
      </c>
      <c r="D13" s="44" t="s">
        <v>64</v>
      </c>
      <c r="E13" s="44">
        <v>29</v>
      </c>
      <c r="F13" s="44">
        <v>52000</v>
      </c>
      <c r="G13" s="45">
        <v>45017</v>
      </c>
      <c r="H13" s="47" t="s">
        <v>128</v>
      </c>
    </row>
  </sheetData>
  <mergeCells count="1">
    <mergeCell ref="A1:E1"/>
  </mergeCells>
  <conditionalFormatting sqref="D4">
    <cfRule type="expression" dxfId="7" priority="6">
      <formula>H4="Confirmed"</formula>
    </cfRule>
    <cfRule type="expression" dxfId="6" priority="7">
      <formula>H4="hold"</formula>
    </cfRule>
    <cfRule type="expression" dxfId="5" priority="8">
      <formula>H4="Pending"</formula>
    </cfRule>
  </conditionalFormatting>
  <conditionalFormatting sqref="D5:D13">
    <cfRule type="expression" dxfId="4" priority="3">
      <formula>H5="Confirmed"</formula>
    </cfRule>
    <cfRule type="expression" dxfId="3" priority="4">
      <formula>H5="hold"</formula>
    </cfRule>
    <cfRule type="expression" dxfId="2" priority="5">
      <formula>H5="Pending"</formula>
    </cfRule>
  </conditionalFormatting>
  <conditionalFormatting sqref="F4">
    <cfRule type="expression" dxfId="1" priority="2">
      <formula>"H21=""Confirmed"""</formula>
    </cfRule>
  </conditionalFormatting>
  <conditionalFormatting sqref="C4">
    <cfRule type="expression" dxfId="0" priority="1">
      <formula>F4&lt;65000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selection activeCell="F4" sqref="F4"/>
    </sheetView>
  </sheetViews>
  <sheetFormatPr defaultRowHeight="14.4" x14ac:dyDescent="0.3"/>
  <cols>
    <col min="1" max="1" width="3" style="1" bestFit="1" customWidth="1"/>
    <col min="2" max="2" width="9.5546875" style="1" bestFit="1" customWidth="1"/>
    <col min="3" max="3" width="12.6640625" style="1" bestFit="1" customWidth="1"/>
    <col min="4" max="4" width="7.77734375" style="1" bestFit="1" customWidth="1"/>
    <col min="5" max="5" width="11.21875" style="1" bestFit="1" customWidth="1"/>
    <col min="6" max="6" width="7.77734375" style="1" bestFit="1" customWidth="1"/>
    <col min="7" max="8" width="8.88671875" style="1"/>
    <col min="9" max="9" width="39.21875" style="1" bestFit="1" customWidth="1"/>
    <col min="10" max="10" width="8.88671875" style="1"/>
    <col min="11" max="11" width="9.88671875" style="1" bestFit="1" customWidth="1"/>
    <col min="12" max="13" width="12.6640625" style="1" bestFit="1" customWidth="1"/>
    <col min="14" max="17" width="8.88671875" style="1"/>
    <col min="18" max="18" width="7.109375" style="1" bestFit="1" customWidth="1"/>
    <col min="19" max="19" width="2" style="1" bestFit="1" customWidth="1"/>
    <col min="20" max="16384" width="8.88671875" style="1"/>
  </cols>
  <sheetData>
    <row r="1" spans="1:19" x14ac:dyDescent="0.3">
      <c r="B1" s="1">
        <v>1</v>
      </c>
      <c r="C1" s="1">
        <f>B1+1</f>
        <v>2</v>
      </c>
      <c r="D1" s="1">
        <f t="shared" ref="D1:F1" si="0">C1+1</f>
        <v>3</v>
      </c>
      <c r="E1" s="1">
        <f t="shared" si="0"/>
        <v>4</v>
      </c>
      <c r="F1" s="1">
        <f t="shared" si="0"/>
        <v>5</v>
      </c>
      <c r="M1" s="1" t="s">
        <v>194</v>
      </c>
    </row>
    <row r="2" spans="1:19" x14ac:dyDescent="0.3">
      <c r="A2" s="1">
        <v>1</v>
      </c>
      <c r="B2" s="52" t="s">
        <v>132</v>
      </c>
      <c r="C2" s="52" t="s">
        <v>133</v>
      </c>
      <c r="D2" s="52" t="s">
        <v>134</v>
      </c>
      <c r="E2" s="52" t="s">
        <v>135</v>
      </c>
      <c r="F2" s="52" t="s">
        <v>131</v>
      </c>
      <c r="H2" s="53" t="s">
        <v>192</v>
      </c>
      <c r="I2" s="53" t="s">
        <v>190</v>
      </c>
      <c r="K2" s="3" t="s">
        <v>131</v>
      </c>
      <c r="L2" s="1" t="s">
        <v>193</v>
      </c>
      <c r="M2" s="1" t="s">
        <v>132</v>
      </c>
      <c r="R2" s="1" t="str">
        <f>INDEX(B2:E12,2,3)</f>
        <v>Ram Traders</v>
      </c>
    </row>
    <row r="3" spans="1:19" x14ac:dyDescent="0.3">
      <c r="A3" s="1">
        <f>A2+1</f>
        <v>2</v>
      </c>
      <c r="B3" s="25" t="s">
        <v>136</v>
      </c>
      <c r="C3" s="25" t="s">
        <v>137</v>
      </c>
      <c r="D3" s="25" t="s">
        <v>138</v>
      </c>
      <c r="E3" s="25">
        <v>23</v>
      </c>
      <c r="F3" s="25">
        <v>101</v>
      </c>
      <c r="K3" s="2">
        <v>101</v>
      </c>
      <c r="L3" s="1">
        <f t="shared" ref="L3:L12" si="1">MATCH(K3,$F$2:$F$12,0)</f>
        <v>2</v>
      </c>
      <c r="M3" s="1">
        <f t="shared" ref="M3:M12" si="2">MATCH($M$2,$B$2:$E$2,0)</f>
        <v>1</v>
      </c>
      <c r="N3" s="1" t="str">
        <f t="shared" ref="N3:N12" si="3">INDEX($B$2:$E$12,L3,M3)</f>
        <v>HardDisk</v>
      </c>
    </row>
    <row r="4" spans="1:19" x14ac:dyDescent="0.3">
      <c r="A4" s="1">
        <f t="shared" ref="A4:A12" si="4">A3+1</f>
        <v>3</v>
      </c>
      <c r="B4" s="25" t="s">
        <v>139</v>
      </c>
      <c r="C4" s="25" t="s">
        <v>140</v>
      </c>
      <c r="D4" s="25" t="s">
        <v>141</v>
      </c>
      <c r="E4" s="25">
        <v>20</v>
      </c>
      <c r="F4" s="25">
        <v>102</v>
      </c>
      <c r="I4" s="52" t="s">
        <v>133</v>
      </c>
      <c r="K4" s="2">
        <v>102</v>
      </c>
      <c r="L4" s="1">
        <f t="shared" si="1"/>
        <v>3</v>
      </c>
      <c r="M4" s="1">
        <f t="shared" si="2"/>
        <v>1</v>
      </c>
      <c r="N4" s="1" t="str">
        <f t="shared" si="3"/>
        <v>Microphone</v>
      </c>
    </row>
    <row r="5" spans="1:19" x14ac:dyDescent="0.3">
      <c r="A5" s="1">
        <f t="shared" si="4"/>
        <v>4</v>
      </c>
      <c r="B5" s="25" t="s">
        <v>142</v>
      </c>
      <c r="C5" s="25" t="s">
        <v>143</v>
      </c>
      <c r="D5" s="25" t="s">
        <v>144</v>
      </c>
      <c r="E5" s="25">
        <v>30</v>
      </c>
      <c r="F5" s="25">
        <v>103</v>
      </c>
      <c r="I5" s="1">
        <f>MATCH(I4,B2:E2,0)</f>
        <v>2</v>
      </c>
      <c r="K5" s="2">
        <v>103</v>
      </c>
      <c r="L5" s="1">
        <f t="shared" si="1"/>
        <v>4</v>
      </c>
      <c r="M5" s="1">
        <f t="shared" si="2"/>
        <v>1</v>
      </c>
      <c r="N5" s="1" t="str">
        <f t="shared" si="3"/>
        <v>Mobile Stand</v>
      </c>
      <c r="S5" s="1">
        <f>MATCH(M2,B2:E2,0)</f>
        <v>1</v>
      </c>
    </row>
    <row r="6" spans="1:19" x14ac:dyDescent="0.3">
      <c r="A6" s="1">
        <f t="shared" si="4"/>
        <v>5</v>
      </c>
      <c r="B6" s="25" t="s">
        <v>145</v>
      </c>
      <c r="C6" s="25" t="s">
        <v>146</v>
      </c>
      <c r="D6" s="25" t="s">
        <v>147</v>
      </c>
      <c r="E6" s="25">
        <v>40</v>
      </c>
      <c r="F6" s="25">
        <v>104</v>
      </c>
      <c r="H6" s="1">
        <v>104</v>
      </c>
      <c r="I6" s="1">
        <f>MATCH(H6,F2:F12,0)</f>
        <v>5</v>
      </c>
      <c r="K6" s="2">
        <v>104</v>
      </c>
      <c r="L6" s="1">
        <f t="shared" si="1"/>
        <v>5</v>
      </c>
      <c r="M6" s="1">
        <f t="shared" si="2"/>
        <v>1</v>
      </c>
      <c r="N6" s="1" t="str">
        <f t="shared" si="3"/>
        <v>Laptop Stand</v>
      </c>
      <c r="R6" s="1">
        <v>101</v>
      </c>
      <c r="S6" s="1">
        <f>MATCH(R6,F2:F12,0)</f>
        <v>2</v>
      </c>
    </row>
    <row r="7" spans="1:19" x14ac:dyDescent="0.3">
      <c r="A7" s="1">
        <f t="shared" si="4"/>
        <v>6</v>
      </c>
      <c r="B7" s="25" t="s">
        <v>148</v>
      </c>
      <c r="C7" s="25" t="s">
        <v>149</v>
      </c>
      <c r="D7" s="25" t="s">
        <v>150</v>
      </c>
      <c r="E7" s="25">
        <v>34</v>
      </c>
      <c r="F7" s="25">
        <v>105</v>
      </c>
      <c r="K7" s="2">
        <v>105</v>
      </c>
      <c r="L7" s="1">
        <f t="shared" si="1"/>
        <v>6</v>
      </c>
      <c r="M7" s="1">
        <f t="shared" si="2"/>
        <v>1</v>
      </c>
      <c r="N7" s="1" t="str">
        <f t="shared" si="3"/>
        <v>Mic Holder</v>
      </c>
    </row>
    <row r="8" spans="1:19" x14ac:dyDescent="0.3">
      <c r="A8" s="1">
        <f t="shared" si="4"/>
        <v>7</v>
      </c>
      <c r="B8" s="25" t="s">
        <v>151</v>
      </c>
      <c r="C8" s="25" t="s">
        <v>152</v>
      </c>
      <c r="D8" s="25" t="s">
        <v>153</v>
      </c>
      <c r="E8" s="25">
        <v>54</v>
      </c>
      <c r="F8" s="25">
        <v>106</v>
      </c>
      <c r="K8" s="2">
        <v>106</v>
      </c>
      <c r="L8" s="1">
        <f t="shared" si="1"/>
        <v>7</v>
      </c>
      <c r="M8" s="1">
        <f t="shared" si="2"/>
        <v>1</v>
      </c>
      <c r="N8" s="1" t="str">
        <f t="shared" si="3"/>
        <v>Printer</v>
      </c>
    </row>
    <row r="9" spans="1:19" x14ac:dyDescent="0.3">
      <c r="A9" s="1">
        <f t="shared" si="4"/>
        <v>8</v>
      </c>
      <c r="B9" s="25" t="s">
        <v>154</v>
      </c>
      <c r="C9" s="25" t="s">
        <v>155</v>
      </c>
      <c r="D9" s="25" t="s">
        <v>156</v>
      </c>
      <c r="E9" s="25">
        <v>30</v>
      </c>
      <c r="F9" s="25">
        <v>107</v>
      </c>
      <c r="K9" s="2">
        <v>107</v>
      </c>
      <c r="L9" s="1">
        <f t="shared" si="1"/>
        <v>8</v>
      </c>
      <c r="M9" s="1">
        <f t="shared" si="2"/>
        <v>1</v>
      </c>
      <c r="N9" s="1" t="str">
        <f t="shared" si="3"/>
        <v>Scanner</v>
      </c>
    </row>
    <row r="10" spans="1:19" x14ac:dyDescent="0.3">
      <c r="A10" s="1">
        <f t="shared" si="4"/>
        <v>9</v>
      </c>
      <c r="B10" s="25" t="s">
        <v>157</v>
      </c>
      <c r="C10" s="25" t="s">
        <v>158</v>
      </c>
      <c r="D10" s="25" t="s">
        <v>159</v>
      </c>
      <c r="E10" s="25">
        <v>10</v>
      </c>
      <c r="F10" s="25">
        <v>108</v>
      </c>
      <c r="K10" s="2">
        <v>108</v>
      </c>
      <c r="L10" s="1">
        <f t="shared" si="1"/>
        <v>9</v>
      </c>
      <c r="M10" s="1">
        <f t="shared" si="2"/>
        <v>1</v>
      </c>
      <c r="N10" s="1" t="str">
        <f t="shared" si="3"/>
        <v>Monitor</v>
      </c>
    </row>
    <row r="11" spans="1:19" x14ac:dyDescent="0.3">
      <c r="A11" s="1">
        <f t="shared" si="4"/>
        <v>10</v>
      </c>
      <c r="B11" s="25" t="s">
        <v>160</v>
      </c>
      <c r="C11" s="25" t="s">
        <v>161</v>
      </c>
      <c r="D11" s="25" t="s">
        <v>162</v>
      </c>
      <c r="E11" s="25">
        <v>20</v>
      </c>
      <c r="F11" s="25">
        <v>109</v>
      </c>
      <c r="H11" s="54" t="s">
        <v>191</v>
      </c>
      <c r="I11" s="53" t="s">
        <v>189</v>
      </c>
      <c r="K11" s="2">
        <v>109</v>
      </c>
      <c r="L11" s="1">
        <f t="shared" si="1"/>
        <v>10</v>
      </c>
      <c r="M11" s="1">
        <f t="shared" si="2"/>
        <v>1</v>
      </c>
      <c r="N11" s="1" t="str">
        <f t="shared" si="3"/>
        <v>Mouse</v>
      </c>
    </row>
    <row r="12" spans="1:19" x14ac:dyDescent="0.3">
      <c r="A12" s="1">
        <f t="shared" si="4"/>
        <v>11</v>
      </c>
      <c r="B12" s="25" t="s">
        <v>163</v>
      </c>
      <c r="C12" s="25" t="s">
        <v>164</v>
      </c>
      <c r="D12" s="25" t="s">
        <v>165</v>
      </c>
      <c r="E12" s="25">
        <v>25</v>
      </c>
      <c r="F12" s="25">
        <v>110</v>
      </c>
      <c r="H12" s="54" t="s">
        <v>191</v>
      </c>
      <c r="I12" s="1" t="str">
        <f>INDEX(B2:E12,MATCH(H6,F2:F12,0),MATCH(I4,B2:E2,0))</f>
        <v>AP0104</v>
      </c>
      <c r="K12" s="2">
        <v>110</v>
      </c>
      <c r="L12" s="1">
        <f t="shared" si="1"/>
        <v>11</v>
      </c>
      <c r="M12" s="1">
        <f t="shared" si="2"/>
        <v>1</v>
      </c>
      <c r="N12" s="1" t="str">
        <f t="shared" si="3"/>
        <v>Keyboard</v>
      </c>
    </row>
    <row r="19" spans="2:6" x14ac:dyDescent="0.3">
      <c r="B19" s="52" t="s">
        <v>131</v>
      </c>
      <c r="C19" s="52" t="s">
        <v>132</v>
      </c>
      <c r="D19" s="52" t="s">
        <v>133</v>
      </c>
      <c r="E19" s="52" t="s">
        <v>134</v>
      </c>
      <c r="F19" s="52" t="s">
        <v>135</v>
      </c>
    </row>
    <row r="20" spans="2:6" x14ac:dyDescent="0.3">
      <c r="B20" s="25">
        <v>101</v>
      </c>
      <c r="C20" s="1" t="str">
        <f t="shared" ref="C20:F29" si="5">INDEX($B$2:$E$12,MATCH($B20,$F$2:$F$12,0),MATCH(C$19,$B$2:$E$2,0))</f>
        <v>HardDisk</v>
      </c>
      <c r="D20" s="1" t="str">
        <f t="shared" si="5"/>
        <v>AP0101</v>
      </c>
      <c r="E20" s="1" t="str">
        <f t="shared" si="5"/>
        <v>Ram Traders</v>
      </c>
      <c r="F20" s="1">
        <f t="shared" si="5"/>
        <v>23</v>
      </c>
    </row>
    <row r="21" spans="2:6" x14ac:dyDescent="0.3">
      <c r="B21" s="25">
        <v>102</v>
      </c>
      <c r="C21" s="1" t="str">
        <f t="shared" si="5"/>
        <v>Microphone</v>
      </c>
      <c r="D21" s="1" t="str">
        <f t="shared" si="5"/>
        <v>AP0102</v>
      </c>
      <c r="E21" s="1" t="str">
        <f t="shared" si="5"/>
        <v>Rajesh</v>
      </c>
      <c r="F21" s="1">
        <f t="shared" si="5"/>
        <v>20</v>
      </c>
    </row>
    <row r="22" spans="2:6" x14ac:dyDescent="0.3">
      <c r="B22" s="25">
        <v>103</v>
      </c>
      <c r="C22" s="1" t="str">
        <f t="shared" si="5"/>
        <v>Mobile Stand</v>
      </c>
      <c r="D22" s="1" t="str">
        <f t="shared" si="5"/>
        <v>AP0103</v>
      </c>
      <c r="E22" s="1" t="str">
        <f t="shared" si="5"/>
        <v>Shivam</v>
      </c>
      <c r="F22" s="1">
        <f t="shared" si="5"/>
        <v>30</v>
      </c>
    </row>
    <row r="23" spans="2:6" x14ac:dyDescent="0.3">
      <c r="B23" s="25">
        <v>104</v>
      </c>
      <c r="C23" s="1" t="str">
        <f t="shared" si="5"/>
        <v>Laptop Stand</v>
      </c>
      <c r="D23" s="1" t="str">
        <f t="shared" si="5"/>
        <v>AP0104</v>
      </c>
      <c r="E23" s="1" t="str">
        <f t="shared" si="5"/>
        <v>Sethi</v>
      </c>
      <c r="F23" s="1">
        <f t="shared" si="5"/>
        <v>40</v>
      </c>
    </row>
    <row r="24" spans="2:6" x14ac:dyDescent="0.3">
      <c r="B24" s="25">
        <v>105</v>
      </c>
      <c r="C24" s="1" t="str">
        <f t="shared" si="5"/>
        <v>Mic Holder</v>
      </c>
      <c r="D24" s="1" t="str">
        <f t="shared" si="5"/>
        <v>AP0105</v>
      </c>
      <c r="E24" s="1" t="str">
        <f t="shared" si="5"/>
        <v>Rahul</v>
      </c>
      <c r="F24" s="1">
        <f t="shared" si="5"/>
        <v>34</v>
      </c>
    </row>
    <row r="25" spans="2:6" x14ac:dyDescent="0.3">
      <c r="B25" s="25">
        <v>106</v>
      </c>
      <c r="C25" s="1" t="str">
        <f t="shared" si="5"/>
        <v>Printer</v>
      </c>
      <c r="D25" s="1" t="str">
        <f t="shared" si="5"/>
        <v>AP0106</v>
      </c>
      <c r="E25" s="1" t="str">
        <f t="shared" si="5"/>
        <v>Aman</v>
      </c>
      <c r="F25" s="1">
        <f t="shared" si="5"/>
        <v>54</v>
      </c>
    </row>
    <row r="26" spans="2:6" x14ac:dyDescent="0.3">
      <c r="B26" s="25">
        <v>107</v>
      </c>
      <c r="C26" s="1" t="str">
        <f t="shared" si="5"/>
        <v>Scanner</v>
      </c>
      <c r="D26" s="1" t="str">
        <f t="shared" si="5"/>
        <v>AP0107</v>
      </c>
      <c r="E26" s="1" t="str">
        <f t="shared" si="5"/>
        <v>Sohan</v>
      </c>
      <c r="F26" s="1">
        <f t="shared" si="5"/>
        <v>30</v>
      </c>
    </row>
    <row r="27" spans="2:6" x14ac:dyDescent="0.3">
      <c r="B27" s="25">
        <v>108</v>
      </c>
      <c r="C27" s="1" t="str">
        <f t="shared" si="5"/>
        <v>Monitor</v>
      </c>
      <c r="D27" s="1" t="str">
        <f t="shared" si="5"/>
        <v>AP0108</v>
      </c>
      <c r="E27" s="1" t="str">
        <f t="shared" si="5"/>
        <v>Chandu</v>
      </c>
      <c r="F27" s="1">
        <f t="shared" si="5"/>
        <v>10</v>
      </c>
    </row>
    <row r="28" spans="2:6" x14ac:dyDescent="0.3">
      <c r="B28" s="25">
        <v>109</v>
      </c>
      <c r="C28" s="1" t="str">
        <f t="shared" si="5"/>
        <v>Mouse</v>
      </c>
      <c r="D28" s="1" t="str">
        <f t="shared" si="5"/>
        <v>AP0109</v>
      </c>
      <c r="E28" s="1" t="str">
        <f t="shared" si="5"/>
        <v>Rohan</v>
      </c>
      <c r="F28" s="1">
        <f t="shared" si="5"/>
        <v>20</v>
      </c>
    </row>
    <row r="29" spans="2:6" x14ac:dyDescent="0.3">
      <c r="B29" s="25">
        <v>110</v>
      </c>
      <c r="C29" s="1" t="str">
        <f t="shared" si="5"/>
        <v>Keyboard</v>
      </c>
      <c r="D29" s="1" t="str">
        <f t="shared" si="5"/>
        <v>AP0110</v>
      </c>
      <c r="E29" s="1" t="str">
        <f t="shared" si="5"/>
        <v>Sonu</v>
      </c>
      <c r="F29" s="1">
        <f t="shared" si="5"/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E14" sqref="E14"/>
    </sheetView>
  </sheetViews>
  <sheetFormatPr defaultRowHeight="14.4" x14ac:dyDescent="0.3"/>
  <sheetData>
    <row r="1" spans="1:9" ht="28.8" x14ac:dyDescent="0.3">
      <c r="A1" s="6" t="s">
        <v>166</v>
      </c>
      <c r="B1" s="6" t="s">
        <v>167</v>
      </c>
      <c r="C1" s="50" t="s">
        <v>168</v>
      </c>
      <c r="D1" s="50" t="s">
        <v>169</v>
      </c>
      <c r="E1" s="50" t="s">
        <v>170</v>
      </c>
      <c r="F1" s="50" t="s">
        <v>171</v>
      </c>
      <c r="G1" s="50" t="s">
        <v>172</v>
      </c>
      <c r="H1" s="50" t="s">
        <v>173</v>
      </c>
      <c r="I1" s="50" t="s">
        <v>174</v>
      </c>
    </row>
    <row r="2" spans="1:9" ht="28.8" x14ac:dyDescent="0.3">
      <c r="A2" s="7" t="s">
        <v>175</v>
      </c>
      <c r="B2" s="7" t="s">
        <v>176</v>
      </c>
      <c r="C2" s="49">
        <v>1200</v>
      </c>
      <c r="D2" s="49">
        <v>4500</v>
      </c>
      <c r="E2" s="49">
        <v>760040</v>
      </c>
      <c r="F2" s="49">
        <v>980000</v>
      </c>
      <c r="G2" s="49">
        <v>2300</v>
      </c>
      <c r="H2" s="49">
        <v>210500</v>
      </c>
      <c r="I2" s="49">
        <v>1958540</v>
      </c>
    </row>
    <row r="3" spans="1:9" x14ac:dyDescent="0.3">
      <c r="A3" s="7" t="s">
        <v>177</v>
      </c>
      <c r="B3" s="7" t="s">
        <v>178</v>
      </c>
      <c r="C3" s="49">
        <v>4300</v>
      </c>
      <c r="D3" s="49">
        <v>4000</v>
      </c>
      <c r="E3" s="49">
        <v>66000</v>
      </c>
      <c r="F3" s="49">
        <v>670000</v>
      </c>
      <c r="G3" s="49">
        <v>439800</v>
      </c>
      <c r="H3" s="49">
        <v>43900</v>
      </c>
      <c r="I3" s="49">
        <v>1228000</v>
      </c>
    </row>
    <row r="4" spans="1:9" x14ac:dyDescent="0.3">
      <c r="A4" s="7" t="s">
        <v>179</v>
      </c>
      <c r="B4" s="7" t="s">
        <v>180</v>
      </c>
      <c r="C4" s="49">
        <v>10000</v>
      </c>
      <c r="D4" s="49">
        <v>56000</v>
      </c>
      <c r="E4" s="49">
        <v>65000</v>
      </c>
      <c r="F4" s="49">
        <v>870000</v>
      </c>
      <c r="G4" s="49">
        <v>540790</v>
      </c>
      <c r="H4" s="49">
        <v>450000</v>
      </c>
      <c r="I4" s="49">
        <v>1991790</v>
      </c>
    </row>
    <row r="5" spans="1:9" x14ac:dyDescent="0.3">
      <c r="A5" s="7" t="s">
        <v>181</v>
      </c>
      <c r="B5" s="7" t="s">
        <v>182</v>
      </c>
      <c r="C5" s="49">
        <v>43000</v>
      </c>
      <c r="D5" s="49">
        <v>76000</v>
      </c>
      <c r="E5" s="49">
        <v>450000</v>
      </c>
      <c r="F5" s="49">
        <v>3400</v>
      </c>
      <c r="G5" s="49">
        <v>5500</v>
      </c>
      <c r="H5" s="49">
        <v>5400</v>
      </c>
      <c r="I5" s="49">
        <v>583300</v>
      </c>
    </row>
    <row r="6" spans="1:9" x14ac:dyDescent="0.3">
      <c r="A6" s="7" t="s">
        <v>183</v>
      </c>
      <c r="B6" s="7" t="s">
        <v>184</v>
      </c>
      <c r="C6" s="49">
        <v>2300</v>
      </c>
      <c r="D6" s="49">
        <v>5500</v>
      </c>
      <c r="E6" s="49">
        <v>54000</v>
      </c>
      <c r="F6" s="49">
        <v>45230</v>
      </c>
      <c r="G6" s="49">
        <v>340000</v>
      </c>
      <c r="H6" s="49">
        <v>5000</v>
      </c>
      <c r="I6" s="49">
        <v>452030</v>
      </c>
    </row>
    <row r="7" spans="1:9" x14ac:dyDescent="0.3">
      <c r="A7" s="7" t="s">
        <v>185</v>
      </c>
      <c r="B7" s="7" t="s">
        <v>186</v>
      </c>
      <c r="C7" s="49">
        <v>54000</v>
      </c>
      <c r="D7" s="49">
        <v>560000</v>
      </c>
      <c r="E7" s="49">
        <v>34000</v>
      </c>
      <c r="F7" s="49">
        <v>77500</v>
      </c>
      <c r="G7" s="49">
        <v>540000</v>
      </c>
      <c r="H7" s="49">
        <v>340000</v>
      </c>
      <c r="I7" s="49">
        <v>1605500</v>
      </c>
    </row>
    <row r="14" spans="1:9" x14ac:dyDescent="0.3">
      <c r="E14" s="51" t="s">
        <v>187</v>
      </c>
    </row>
    <row r="15" spans="1:9" x14ac:dyDescent="0.3">
      <c r="E15" s="5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Flash Fill</vt:lpstr>
      <vt:lpstr>Text to Column</vt:lpstr>
      <vt:lpstr>Remove Duplicates</vt:lpstr>
      <vt:lpstr>Sorting</vt:lpstr>
      <vt:lpstr>Filtering</vt:lpstr>
      <vt:lpstr>Table Formatting</vt:lpstr>
      <vt:lpstr>Data Validation</vt:lpstr>
      <vt:lpstr>ConditinalFormatting</vt:lpstr>
      <vt:lpstr>ConditinalFormatting Formula</vt:lpstr>
      <vt:lpstr>IndexMatch</vt:lpstr>
      <vt:lpstr>Xloo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2026-06-25T09:54:02Z</dcterms:modified>
</cp:coreProperties>
</file>