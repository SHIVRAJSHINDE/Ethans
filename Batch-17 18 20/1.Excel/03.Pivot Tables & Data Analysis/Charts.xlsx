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BarCharts" sheetId="2" r:id="rId1"/>
    <sheet name="CountPlot" sheetId="9" r:id="rId2"/>
    <sheet name="LineChart" sheetId="3" r:id="rId3"/>
    <sheet name="PieChart" sheetId="4" r:id="rId4"/>
    <sheet name="RawData" sheetId="1" r:id="rId5"/>
  </sheets>
  <definedNames>
    <definedName name="_xlnm._FilterDatabase" localSheetId="4" hidden="1">RawData!$A$1:$M$54</definedName>
  </definedNames>
  <calcPr calcId="162913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0" i="1" l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<sst xmlns="http://schemas.openxmlformats.org/spreadsheetml/2006/main" count="887" uniqueCount="123">
  <si>
    <t>Date</t>
  </si>
  <si>
    <t>CUST ID</t>
  </si>
  <si>
    <t>country</t>
  </si>
  <si>
    <t>Region</t>
  </si>
  <si>
    <t>gender</t>
  </si>
  <si>
    <t>age</t>
  </si>
  <si>
    <t>maritalStatus</t>
  </si>
  <si>
    <t>has_children</t>
  </si>
  <si>
    <t>education</t>
  </si>
  <si>
    <t>occupation</t>
  </si>
  <si>
    <t>Cost</t>
  </si>
  <si>
    <t>Sale</t>
  </si>
  <si>
    <t>Cust-SS-01</t>
  </si>
  <si>
    <t>usa</t>
  </si>
  <si>
    <t>north</t>
  </si>
  <si>
    <t>Female</t>
  </si>
  <si>
    <t>Single</t>
  </si>
  <si>
    <t>No</t>
  </si>
  <si>
    <t>Bachelors degree</t>
  </si>
  <si>
    <t>Computer &amp; Mathematical</t>
  </si>
  <si>
    <t>Cust-SS-02</t>
  </si>
  <si>
    <t>canada</t>
  </si>
  <si>
    <t>west</t>
  </si>
  <si>
    <t>Male</t>
  </si>
  <si>
    <t>Married partner</t>
  </si>
  <si>
    <t>Yes</t>
  </si>
  <si>
    <t>Cust-SS-03</t>
  </si>
  <si>
    <t>east</t>
  </si>
  <si>
    <t>Divorced</t>
  </si>
  <si>
    <t>Associates degree</t>
  </si>
  <si>
    <t>Cust-SS-04</t>
  </si>
  <si>
    <t>Masters or Doctorate</t>
  </si>
  <si>
    <t>Cust-SS-05</t>
  </si>
  <si>
    <t>Architecture &amp; Engineering</t>
  </si>
  <si>
    <t>Cust-SS-06</t>
  </si>
  <si>
    <t>Education&amp;Training&amp;Library</t>
  </si>
  <si>
    <t>Cust-SS-07</t>
  </si>
  <si>
    <t>Arts, Design, Sports, Media</t>
  </si>
  <si>
    <t>Cust-SS-08</t>
  </si>
  <si>
    <t>Some college</t>
  </si>
  <si>
    <t>Cust-SS-09</t>
  </si>
  <si>
    <t>Cust-SS-10</t>
  </si>
  <si>
    <t>Community &amp; Social Services</t>
  </si>
  <si>
    <t>Cust-SS-11</t>
  </si>
  <si>
    <t>Unmarried partner</t>
  </si>
  <si>
    <t>Cust-SS-12</t>
  </si>
  <si>
    <t>Cust-SS-13</t>
  </si>
  <si>
    <t>Business &amp; Financial</t>
  </si>
  <si>
    <t>Cust-SS-14</t>
  </si>
  <si>
    <t>Cust-SS-15</t>
  </si>
  <si>
    <t>Cust-SS-16</t>
  </si>
  <si>
    <t>Cust-SS-17</t>
  </si>
  <si>
    <t>Cust-SS-18</t>
  </si>
  <si>
    <t>Cust-SS-19</t>
  </si>
  <si>
    <t>Cust-SS-20</t>
  </si>
  <si>
    <t>Cust-SS-21</t>
  </si>
  <si>
    <t>Cust-SS-22</t>
  </si>
  <si>
    <t>Cust-SS-23</t>
  </si>
  <si>
    <t>Cust-SS-24</t>
  </si>
  <si>
    <t>Cust-SS-25</t>
  </si>
  <si>
    <t>Building &amp; Grounds Cleaning &amp; Maintenance</t>
  </si>
  <si>
    <t>Cust-SS-26</t>
  </si>
  <si>
    <t>Cust-SS-27</t>
  </si>
  <si>
    <t>Cust-SS-28</t>
  </si>
  <si>
    <t>Cust-SS-29</t>
  </si>
  <si>
    <t>Cust-SS-30</t>
  </si>
  <si>
    <t>Cust-SS-31</t>
  </si>
  <si>
    <t>Cust-SS-32</t>
  </si>
  <si>
    <t>Cust-SS-33</t>
  </si>
  <si>
    <t>Cust-SS-34</t>
  </si>
  <si>
    <t>Cust-SS-35</t>
  </si>
  <si>
    <t>Cust-SS-36</t>
  </si>
  <si>
    <t>Cust-SS-37</t>
  </si>
  <si>
    <t>Cust-SS-38</t>
  </si>
  <si>
    <t>High School Graduate</t>
  </si>
  <si>
    <t>Cust-SS-39</t>
  </si>
  <si>
    <t>Cust-SS-40</t>
  </si>
  <si>
    <t>Cust-SS-41</t>
  </si>
  <si>
    <t>Cust-SS-42</t>
  </si>
  <si>
    <t>Cust-SS-43</t>
  </si>
  <si>
    <t>Cust-SS-44</t>
  </si>
  <si>
    <t>Cust-SS-45</t>
  </si>
  <si>
    <t>Cust-SS-46</t>
  </si>
  <si>
    <t>Cust-SS-47</t>
  </si>
  <si>
    <t>Cust-SS-48</t>
  </si>
  <si>
    <t>Cust-SS-49</t>
  </si>
  <si>
    <t>Cust-SS-50</t>
  </si>
  <si>
    <t>Cust-SS-51</t>
  </si>
  <si>
    <t>Cust-SS-52</t>
  </si>
  <si>
    <t>Cust-SS-53</t>
  </si>
  <si>
    <t>Row Labels</t>
  </si>
  <si>
    <t>Grand Total</t>
  </si>
  <si>
    <t>Sum of Sale</t>
  </si>
  <si>
    <t>Total</t>
  </si>
  <si>
    <t>Canada</t>
  </si>
  <si>
    <t>2016</t>
  </si>
  <si>
    <t>Qtr1</t>
  </si>
  <si>
    <t>Qtr2</t>
  </si>
  <si>
    <t>Qtr3</t>
  </si>
  <si>
    <t>Qtr4</t>
  </si>
  <si>
    <t>2017</t>
  </si>
  <si>
    <t>2018</t>
  </si>
  <si>
    <t>2019</t>
  </si>
  <si>
    <t>2020</t>
  </si>
  <si>
    <t>2021</t>
  </si>
  <si>
    <t>Profit</t>
  </si>
  <si>
    <t>Sales ID</t>
  </si>
  <si>
    <t>PR-S-13</t>
  </si>
  <si>
    <t>PR-S-11</t>
  </si>
  <si>
    <t>PR-S-09</t>
  </si>
  <si>
    <t>PR-S-02</t>
  </si>
  <si>
    <t>PR-S-14</t>
  </si>
  <si>
    <t>PR-S-01</t>
  </si>
  <si>
    <t>PR-S-15</t>
  </si>
  <si>
    <t>PR-S-06</t>
  </si>
  <si>
    <t>PR-S-07</t>
  </si>
  <si>
    <t>PR-S-08</t>
  </si>
  <si>
    <t>PR-S-03</t>
  </si>
  <si>
    <t>PR-S-12</t>
  </si>
  <si>
    <t>PR-S-05</t>
  </si>
  <si>
    <t>PR-S-10</t>
  </si>
  <si>
    <t>PR-S-04</t>
  </si>
  <si>
    <t>Count of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</si>
</sst>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[Chats.xlsx]BarCharts!PivotTable1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BarCharts!$D$3:$D$4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BarCharts!$A$5:$C$17</c:f>
              <c:multiLvlStrCache>
                <c:ptCount val="12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Male</c:v>
                  </c:pt>
                </c:lvl>
                <c:lvl>
                  <c:pt idx="0">
                    <c:v>east</c:v>
                  </c:pt>
                  <c:pt idx="2">
                    <c:v>north</c:v>
                  </c:pt>
                  <c:pt idx="4">
                    <c:v>west</c:v>
                  </c:pt>
                  <c:pt idx="6">
                    <c:v>east</c:v>
                  </c:pt>
                  <c:pt idx="8">
                    <c:v>north</c:v>
                  </c:pt>
                  <c:pt idx="10">
                    <c:v>west</c:v>
                  </c:pt>
                </c:lvl>
                <c:lvl>
                  <c:pt idx="0">
                    <c:v>Canada</c:v>
                  </c:pt>
                  <c:pt idx="6">
                    <c:v>usa</c:v>
                  </c:pt>
                </c:lvl>
              </c:multiLvlStrCache>
            </c:multiLvlStrRef>
          </c:cat>
          <c:val>
            <c:numRef>
              <c:f>BarCharts!$D$5:$D$17</c:f>
              <c:numCache>
                <c:formatCode>General</c:formatCode>
                <c:ptCount val="12"/>
                <c:pt idx="0">
                  <c:v>2934</c:v>
                </c:pt>
                <c:pt idx="1">
                  <c:v>3620</c:v>
                </c:pt>
                <c:pt idx="2">
                  <c:v>1488</c:v>
                </c:pt>
                <c:pt idx="3">
                  <c:v>1919</c:v>
                </c:pt>
                <c:pt idx="4">
                  <c:v>5612</c:v>
                </c:pt>
                <c:pt idx="5">
                  <c:v>3622</c:v>
                </c:pt>
                <c:pt idx="6">
                  <c:v>2934</c:v>
                </c:pt>
                <c:pt idx="7">
                  <c:v>3620</c:v>
                </c:pt>
                <c:pt idx="8">
                  <c:v>1488</c:v>
                </c:pt>
                <c:pt idx="9">
                  <c:v>1919</c:v>
                </c:pt>
                <c:pt idx="10">
                  <c:v>1913</c:v>
                </c:pt>
                <c:pt idx="11">
                  <c:v>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C-4329-9293-3BBBDBE822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53687583"/>
        <c:axId val="1855792495"/>
      </c:barChart>
      <c:catAx>
        <c:axId val="185368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792495"/>
        <c:crosses val="autoZero"/>
        <c:auto val="1"/>
        <c:lblAlgn val="ctr"/>
        <c:lblOffset val="100"/>
        <c:noMultiLvlLbl val="0"/>
      </c:catAx>
      <c:valAx>
        <c:axId val="185579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6875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[Chats.xlsx]CountPlot!PivotTable1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CountPlot!$C$3:$C$4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CountPlot!$A$5:$B$11</c:f>
              <c:multiLvlStrCache>
                <c:ptCount val="6"/>
                <c:lvl>
                  <c:pt idx="0">
                    <c:v>east</c:v>
                  </c:pt>
                  <c:pt idx="1">
                    <c:v>north</c:v>
                  </c:pt>
                  <c:pt idx="2">
                    <c:v>west</c:v>
                  </c:pt>
                  <c:pt idx="3">
                    <c:v>east</c:v>
                  </c:pt>
                  <c:pt idx="4">
                    <c:v>north</c:v>
                  </c:pt>
                  <c:pt idx="5">
                    <c:v>west</c:v>
                  </c:pt>
                </c:lvl>
                <c:lvl>
                  <c:pt idx="0">
                    <c:v>Canada</c:v>
                  </c:pt>
                  <c:pt idx="3">
                    <c:v>usa</c:v>
                  </c:pt>
                </c:lvl>
              </c:multiLvlStrCache>
            </c:multiLvlStrRef>
          </c:cat>
          <c:val>
            <c:numRef>
              <c:f>CountPlot!$C$5:$C$11</c:f>
              <c:numCache>
                <c:formatCode>General</c:formatCode>
                <c:ptCount val="6"/>
                <c:pt idx="0">
                  <c:v>18</c:v>
                </c:pt>
                <c:pt idx="1">
                  <c:v>9</c:v>
                </c:pt>
                <c:pt idx="2">
                  <c:v>26</c:v>
                </c:pt>
                <c:pt idx="3">
                  <c:v>18</c:v>
                </c:pt>
                <c:pt idx="4">
                  <c:v>9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C-4085-83E8-910497F244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53687583"/>
        <c:axId val="1855792495"/>
      </c:barChart>
      <c:catAx>
        <c:axId val="185368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792495"/>
        <c:crosses val="autoZero"/>
        <c:auto val="1"/>
        <c:lblAlgn val="ctr"/>
        <c:lblOffset val="100"/>
        <c:noMultiLvlLbl val="0"/>
      </c:catAx>
      <c:valAx>
        <c:axId val="185579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6875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[Chats.xlsx]LineChart!PivotTable2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LineChart!$B$3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LineChart!$A$4:$A$33</c:f>
              <c:multiLvlStrCache>
                <c:ptCount val="23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  <c:pt idx="16">
                    <c:v>Qtr1</c:v>
                  </c:pt>
                  <c:pt idx="17">
                    <c:v>Qtr2</c:v>
                  </c:pt>
                  <c:pt idx="18">
                    <c:v>Qtr3</c:v>
                  </c:pt>
                  <c:pt idx="19">
                    <c:v>Qtr4</c:v>
                  </c:pt>
                  <c:pt idx="20">
                    <c:v>Qtr1</c:v>
                  </c:pt>
                  <c:pt idx="21">
                    <c:v>Qtr2</c:v>
                  </c:pt>
                  <c:pt idx="22">
                    <c:v>Qtr3</c:v>
                  </c:pt>
                </c:lvl>
                <c:lvl>
                  <c:pt idx="0">
                    <c:v>2016</c:v>
                  </c:pt>
                  <c:pt idx="4">
                    <c:v>2017</c:v>
                  </c:pt>
                  <c:pt idx="8">
                    <c:v>2018</c:v>
                  </c:pt>
                  <c:pt idx="12">
                    <c:v>2019</c:v>
                  </c:pt>
                  <c:pt idx="16">
                    <c:v>2020</c:v>
                  </c:pt>
                  <c:pt idx="20">
                    <c:v>2021</c:v>
                  </c:pt>
                </c:lvl>
              </c:multiLvlStrCache>
            </c:multiLvlStrRef>
          </c:cat>
          <c:val>
            <c:numRef>
              <c:f>LineChart!$B$4:$B$33</c:f>
              <c:numCache>
                <c:formatCode>General</c:formatCode>
                <c:ptCount val="23"/>
                <c:pt idx="0">
                  <c:v>742</c:v>
                </c:pt>
                <c:pt idx="1">
                  <c:v>2041</c:v>
                </c:pt>
                <c:pt idx="2">
                  <c:v>1795</c:v>
                </c:pt>
                <c:pt idx="3">
                  <c:v>1156</c:v>
                </c:pt>
                <c:pt idx="4">
                  <c:v>885</c:v>
                </c:pt>
                <c:pt idx="5">
                  <c:v>990</c:v>
                </c:pt>
                <c:pt idx="6">
                  <c:v>1350</c:v>
                </c:pt>
                <c:pt idx="7">
                  <c:v>1092</c:v>
                </c:pt>
                <c:pt idx="8">
                  <c:v>1426</c:v>
                </c:pt>
                <c:pt idx="9">
                  <c:v>1634</c:v>
                </c:pt>
                <c:pt idx="10">
                  <c:v>1345</c:v>
                </c:pt>
                <c:pt idx="11">
                  <c:v>732</c:v>
                </c:pt>
                <c:pt idx="12">
                  <c:v>297</c:v>
                </c:pt>
                <c:pt idx="13">
                  <c:v>584</c:v>
                </c:pt>
                <c:pt idx="14">
                  <c:v>502</c:v>
                </c:pt>
                <c:pt idx="15">
                  <c:v>1634</c:v>
                </c:pt>
                <c:pt idx="16">
                  <c:v>1372</c:v>
                </c:pt>
                <c:pt idx="17">
                  <c:v>1896</c:v>
                </c:pt>
                <c:pt idx="18">
                  <c:v>2474</c:v>
                </c:pt>
                <c:pt idx="19">
                  <c:v>2817</c:v>
                </c:pt>
                <c:pt idx="20">
                  <c:v>2154</c:v>
                </c:pt>
                <c:pt idx="21">
                  <c:v>1541</c:v>
                </c:pt>
                <c:pt idx="22">
                  <c:v>1312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AF-4577-A370-D4BD236F6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0186175"/>
        <c:axId val="2020184927"/>
      </c:lineChart>
      <c:catAx>
        <c:axId val="202018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184927"/>
        <c:crosses val="autoZero"/>
        <c:auto val="1"/>
        <c:lblAlgn val="ctr"/>
        <c:lblOffset val="100"/>
        <c:noMultiLvlLbl val="0"/>
      </c:catAx>
      <c:valAx>
        <c:axId val="202018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18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[Chats.xlsx]PieChart!PivotTable2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PieChart!$B$3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74-4CF2-B837-CF4D138B03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74-4CF2-B837-CF4D138B03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74-4CF2-B837-CF4D138B03FA}"/>
              </c:ext>
            </c:extLst>
          </c:dPt>
          <c:dLbls>
            <c:delete val="1"/>
          </c:dLbls>
          <c:cat>
            <c:strRef>
              <c:f>PieChart!$A$4:$A$7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west</c:v>
                </c:pt>
              </c:strCache>
            </c:strRef>
          </c:cat>
          <c:val>
            <c:numRef>
              <c:f>PieChart!$B$4:$B$7</c:f>
              <c:numCache>
                <c:formatCode>General</c:formatCode>
                <c:ptCount val="3"/>
                <c:pt idx="0">
                  <c:v>13108</c:v>
                </c:pt>
                <c:pt idx="1">
                  <c:v>6814</c:v>
                </c:pt>
                <c:pt idx="2">
                  <c:v>11849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F-4FB2-9DBA-DBA33BAA32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2</xdr:row>
      <xdr:rowOff>110490</xdr:rowOff>
    </xdr:from>
    <xdr:to>
      <xdr:col>14</xdr:col>
      <xdr:colOff>312420</xdr:colOff>
      <xdr:row>17</xdr:row>
      <xdr:rowOff>110490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2</xdr:row>
      <xdr:rowOff>110490</xdr:rowOff>
    </xdr:from>
    <xdr:to>
      <xdr:col>14</xdr:col>
      <xdr:colOff>312420</xdr:colOff>
      <xdr:row>17</xdr:row>
      <xdr:rowOff>110490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7</xdr:row>
      <xdr:rowOff>118110</xdr:rowOff>
    </xdr:from>
    <xdr:to>
      <xdr:col>11</xdr:col>
      <xdr:colOff>274320</xdr:colOff>
      <xdr:row>22</xdr:row>
      <xdr:rowOff>118110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7</xdr:row>
      <xdr:rowOff>118110</xdr:rowOff>
    </xdr:from>
    <xdr:to>
      <xdr:col>11</xdr:col>
      <xdr:colOff>274320</xdr:colOff>
      <xdr:row>22</xdr:row>
      <xdr:rowOff>118110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hat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02.737477893519" createdVersion="6" refreshedVersion="6" minRefreshableVersion="3" recordCount="89">
  <cacheSource type="worksheet">
    <worksheetSource ref="A1:M90" sheet="RawData" r:id="rId2"/>
  </cacheSource>
  <cacheFields count="14">
    <cacheField name="Date" numFmtId="15">
      <sharedItems containsSemiMixedTypes="0" containsNonDate="0" containsDate="1" containsString="0" minDate="2016-02-15T00:00:00" maxDate="2021-09-02T00:00:00" count="53">
        <d v="2016-02-15T00:00:00"/>
        <d v="2016-04-30T00:00:00"/>
        <d v="2016-05-30T00:00:00"/>
        <d v="2016-06-14T00:00:00"/>
        <d v="2016-07-14T00:00:00"/>
        <d v="2016-07-29T00:00:00"/>
        <d v="2016-08-28T00:00:00"/>
        <d v="2016-09-12T00:00:00"/>
        <d v="2016-10-27T00:00:00"/>
        <d v="2016-11-26T00:00:00"/>
        <d v="2017-01-10T00:00:00"/>
        <d v="2017-02-09T00:00:00"/>
        <d v="2017-05-10T00:00:00"/>
        <d v="2017-05-25T00:00:00"/>
        <d v="2017-08-23T00:00:00"/>
        <d v="2017-09-22T00:00:00"/>
        <d v="2017-11-21T00:00:00"/>
        <d v="2018-01-05T00:00:00"/>
        <d v="2018-03-06T00:00:00"/>
        <d v="2018-04-05T00:00:00"/>
        <d v="2018-05-20T00:00:00"/>
        <d v="2018-06-04T00:00:00"/>
        <d v="2018-08-03T00:00:00"/>
        <d v="2018-09-02T00:00:00"/>
        <d v="2018-10-02T00:00:00"/>
        <d v="2019-01-15T00:00:00"/>
        <d v="2019-05-15T00:00:00"/>
        <d v="2019-08-13T00:00:00"/>
        <d v="2019-10-12T00:00:00"/>
        <d v="2019-10-27T00:00:00"/>
        <d v="2019-11-26T00:00:00"/>
        <d v="2020-01-10T00:00:00"/>
        <d v="2020-02-24T00:00:00"/>
        <d v="2020-04-24T00:00:00"/>
        <d v="2020-06-08T00:00:00"/>
        <d v="2020-06-23T00:00:00"/>
        <d v="2020-07-08T00:00:00"/>
        <d v="2020-08-22T00:00:00"/>
        <d v="2020-09-06T00:00:00"/>
        <d v="2020-09-21T00:00:00"/>
        <d v="2020-10-21T00:00:00"/>
        <d v="2020-11-05T00:00:00"/>
        <d v="2020-11-20T00:00:00"/>
        <d v="2020-12-05T00:00:00"/>
        <d v="2020-12-20T00:00:00"/>
        <d v="2021-01-04T00:00:00"/>
        <d v="2021-01-19T00:00:00"/>
        <d v="2021-02-03T00:00:00"/>
        <d v="2021-03-20T00:00:00"/>
        <d v="2021-04-19T00:00:00"/>
        <d v="2021-06-03T00:00:00"/>
        <d v="2021-07-03T00:00:00"/>
        <d v="2021-09-01T00:00:00"/>
      </sharedItems>
      <fieldGroup par="13" base="0">
        <rangePr groupBy="months" startDate="2016-02-15T00:00:00" endDate="2021-09-02T00:00:00"/>
        <groupItems count="14">
          <s v="&lt;15-02-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9-2021"/>
        </groupItems>
      </fieldGroup>
    </cacheField>
    <cacheField name="CUST ID" numFmtId="15">
      <sharedItems/>
    </cacheField>
    <cacheField name="country" numFmtId="15">
      <sharedItems count="2">
        <s v="usa"/>
        <s v="Canada"/>
      </sharedItems>
    </cacheField>
    <cacheField name="Region" numFmtId="15">
      <sharedItems count="3">
        <s v="north"/>
        <s v="west"/>
        <s v="east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1" maxValue="50"/>
    </cacheField>
    <cacheField name="maritalStatus" numFmtId="0">
      <sharedItems/>
    </cacheField>
    <cacheField name="has_children" numFmtId="0">
      <sharedItems/>
    </cacheField>
    <cacheField name="education" numFmtId="0">
      <sharedItems/>
    </cacheField>
    <cacheField name="occupation" numFmtId="0">
      <sharedItems/>
    </cacheField>
    <cacheField name="Cost" numFmtId="0">
      <sharedItems containsSemiMixedTypes="0" containsString="0" containsNumber="1" containsInteger="1" minValue="100" maxValue="490"/>
    </cacheField>
    <cacheField name="Sale" numFmtId="0">
      <sharedItems containsSemiMixedTypes="0" containsString="0" containsNumber="1" containsInteger="1" minValue="140" maxValue="555"/>
    </cacheField>
    <cacheField name="Quarters" numFmtId="0" databaseField="0">
      <fieldGroup base="0">
        <rangePr groupBy="quarters" startDate="2016-02-15T00:00:00" endDate="2021-09-02T00:00:00"/>
        <groupItems count="6">
          <s v="&lt;15-02-2016"/>
          <s v="Qtr1"/>
          <s v="Qtr2"/>
          <s v="Qtr3"/>
          <s v="Qtr4"/>
          <s v="&gt;02-09-2021"/>
        </groupItems>
      </fieldGroup>
    </cacheField>
    <cacheField name="Years" numFmtId="0" databaseField="0">
      <fieldGroup base="0">
        <rangePr groupBy="years" startDate="2016-02-15T00:00:00" endDate="2021-09-02T00:00:00"/>
        <groupItems count="8">
          <s v="&lt;15-02-2016"/>
          <s v="2016"/>
          <s v="2017"/>
          <s v="2018"/>
          <s v="2019"/>
          <s v="2020"/>
          <s v="2021"/>
          <s v="&gt;02-09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9">
  <r>
    <x v="0"/>
    <s v="Cust-SS-01"/>
    <x v="0"/>
    <x v="0"/>
    <x v="0"/>
    <n v="26"/>
    <s v="Single"/>
    <s v="No"/>
    <s v="Bachelors degree"/>
    <s v="Computer &amp; Mathematical"/>
    <n v="320"/>
    <n v="371"/>
  </r>
  <r>
    <x v="0"/>
    <s v="Cust-SS-01"/>
    <x v="1"/>
    <x v="0"/>
    <x v="0"/>
    <n v="26"/>
    <s v="Single"/>
    <s v="No"/>
    <s v="Bachelors degree"/>
    <s v="Computer &amp; Mathematical"/>
    <n v="320"/>
    <n v="371"/>
  </r>
  <r>
    <x v="1"/>
    <s v="Cust-SS-02"/>
    <x v="1"/>
    <x v="1"/>
    <x v="1"/>
    <n v="26"/>
    <s v="Married partner"/>
    <s v="Yes"/>
    <s v="Bachelors degree"/>
    <s v="Computer &amp; Mathematical"/>
    <n v="490"/>
    <n v="533"/>
  </r>
  <r>
    <x v="2"/>
    <s v="Cust-SS-03"/>
    <x v="0"/>
    <x v="2"/>
    <x v="0"/>
    <n v="36"/>
    <s v="Divorced"/>
    <s v="No"/>
    <s v="Associates degree"/>
    <s v="Computer &amp; Mathematical"/>
    <n v="464"/>
    <n v="555"/>
  </r>
  <r>
    <x v="2"/>
    <s v="Cust-SS-03"/>
    <x v="1"/>
    <x v="2"/>
    <x v="0"/>
    <n v="36"/>
    <s v="Divorced"/>
    <s v="No"/>
    <s v="Associates degree"/>
    <s v="Computer &amp; Mathematical"/>
    <n v="464"/>
    <n v="555"/>
  </r>
  <r>
    <x v="3"/>
    <s v="Cust-SS-04"/>
    <x v="0"/>
    <x v="1"/>
    <x v="1"/>
    <n v="41"/>
    <s v="Married partner"/>
    <s v="No"/>
    <s v="Masters or Doctorate"/>
    <s v="Computer &amp; Mathematical"/>
    <n v="100"/>
    <n v="199"/>
  </r>
  <r>
    <x v="3"/>
    <s v="Cust-SS-04"/>
    <x v="1"/>
    <x v="1"/>
    <x v="1"/>
    <n v="41"/>
    <s v="Married partner"/>
    <s v="No"/>
    <s v="Masters or Doctorate"/>
    <s v="Computer &amp; Mathematical"/>
    <n v="100"/>
    <n v="199"/>
  </r>
  <r>
    <x v="4"/>
    <s v="Cust-SS-05"/>
    <x v="0"/>
    <x v="2"/>
    <x v="1"/>
    <n v="21"/>
    <s v="Single"/>
    <s v="No"/>
    <s v="Bachelors degree"/>
    <s v="Architecture &amp; Engineering"/>
    <n v="105"/>
    <n v="140"/>
  </r>
  <r>
    <x v="4"/>
    <s v="Cust-SS-05"/>
    <x v="1"/>
    <x v="2"/>
    <x v="1"/>
    <n v="21"/>
    <s v="Single"/>
    <s v="No"/>
    <s v="Bachelors degree"/>
    <s v="Architecture &amp; Engineering"/>
    <n v="105"/>
    <n v="140"/>
  </r>
  <r>
    <x v="5"/>
    <s v="Cust-SS-06"/>
    <x v="1"/>
    <x v="1"/>
    <x v="1"/>
    <n v="50"/>
    <s v="Married partner"/>
    <s v="Yes"/>
    <s v="Masters or Doctorate"/>
    <s v="Education&amp;Training&amp;Library"/>
    <n v="263"/>
    <n v="354"/>
  </r>
  <r>
    <x v="6"/>
    <s v="Cust-SS-07"/>
    <x v="0"/>
    <x v="0"/>
    <x v="0"/>
    <n v="21"/>
    <s v="Single"/>
    <s v="No"/>
    <s v="Bachelors degree"/>
    <s v="Arts, Design, Sports, Media"/>
    <n v="280"/>
    <n v="360"/>
  </r>
  <r>
    <x v="6"/>
    <s v="Cust-SS-07"/>
    <x v="1"/>
    <x v="0"/>
    <x v="0"/>
    <n v="21"/>
    <s v="Single"/>
    <s v="No"/>
    <s v="Bachelors degree"/>
    <s v="Arts, Design, Sports, Media"/>
    <n v="280"/>
    <n v="360"/>
  </r>
  <r>
    <x v="7"/>
    <s v="Cust-SS-08"/>
    <x v="1"/>
    <x v="1"/>
    <x v="1"/>
    <n v="41"/>
    <s v="Single"/>
    <s v="No"/>
    <s v="Some college"/>
    <s v="Arts, Design, Sports, Media"/>
    <n v="409"/>
    <n v="441"/>
  </r>
  <r>
    <x v="8"/>
    <s v="Cust-SS-09"/>
    <x v="0"/>
    <x v="2"/>
    <x v="1"/>
    <n v="26"/>
    <s v="Married partner"/>
    <s v="Yes"/>
    <s v="Bachelors degree"/>
    <s v="Computer &amp; Mathematical"/>
    <n v="354"/>
    <n v="384"/>
  </r>
  <r>
    <x v="8"/>
    <s v="Cust-SS-09"/>
    <x v="1"/>
    <x v="2"/>
    <x v="1"/>
    <n v="26"/>
    <s v="Married partner"/>
    <s v="Yes"/>
    <s v="Bachelors degree"/>
    <s v="Computer &amp; Mathematical"/>
    <n v="354"/>
    <n v="384"/>
  </r>
  <r>
    <x v="9"/>
    <s v="Cust-SS-10"/>
    <x v="0"/>
    <x v="1"/>
    <x v="0"/>
    <n v="31"/>
    <s v="Single"/>
    <s v="No"/>
    <s v="Bachelors degree"/>
    <s v="Community &amp; Social Services"/>
    <n v="107"/>
    <n v="194"/>
  </r>
  <r>
    <x v="9"/>
    <s v="Cust-SS-10"/>
    <x v="1"/>
    <x v="1"/>
    <x v="0"/>
    <n v="31"/>
    <s v="Single"/>
    <s v="No"/>
    <s v="Bachelors degree"/>
    <s v="Community &amp; Social Services"/>
    <n v="107"/>
    <n v="194"/>
  </r>
  <r>
    <x v="10"/>
    <s v="Cust-SS-11"/>
    <x v="0"/>
    <x v="2"/>
    <x v="0"/>
    <n v="31"/>
    <s v="Unmarried partner"/>
    <s v="No"/>
    <s v="Masters or Doctorate"/>
    <s v="Computer &amp; Mathematical"/>
    <n v="165"/>
    <n v="259"/>
  </r>
  <r>
    <x v="10"/>
    <s v="Cust-SS-11"/>
    <x v="1"/>
    <x v="2"/>
    <x v="0"/>
    <n v="31"/>
    <s v="Unmarried partner"/>
    <s v="No"/>
    <s v="Masters or Doctorate"/>
    <s v="Computer &amp; Mathematical"/>
    <n v="165"/>
    <n v="259"/>
  </r>
  <r>
    <x v="11"/>
    <s v="Cust-SS-12"/>
    <x v="1"/>
    <x v="1"/>
    <x v="1"/>
    <n v="26"/>
    <s v="Married partner"/>
    <s v="Yes"/>
    <s v="Bachelors degree"/>
    <s v="Computer &amp; Mathematical"/>
    <n v="290"/>
    <n v="367"/>
  </r>
  <r>
    <x v="12"/>
    <s v="Cust-SS-13"/>
    <x v="0"/>
    <x v="0"/>
    <x v="1"/>
    <n v="41"/>
    <s v="Married partner"/>
    <s v="Yes"/>
    <s v="Some college"/>
    <s v="Business &amp; Financial"/>
    <n v="158"/>
    <n v="256"/>
  </r>
  <r>
    <x v="12"/>
    <s v="Cust-SS-13"/>
    <x v="1"/>
    <x v="0"/>
    <x v="1"/>
    <n v="41"/>
    <s v="Married partner"/>
    <s v="Yes"/>
    <s v="Some college"/>
    <s v="Business &amp; Financial"/>
    <n v="158"/>
    <n v="256"/>
  </r>
  <r>
    <x v="13"/>
    <s v="Cust-SS-14"/>
    <x v="1"/>
    <x v="1"/>
    <x v="0"/>
    <n v="31"/>
    <s v="Single"/>
    <s v="No"/>
    <s v="Associates degree"/>
    <s v="Arts, Design, Sports, Media"/>
    <n v="445"/>
    <n v="478"/>
  </r>
  <r>
    <x v="14"/>
    <s v="Cust-SS-15"/>
    <x v="0"/>
    <x v="2"/>
    <x v="1"/>
    <n v="26"/>
    <s v="Married partner"/>
    <s v="No"/>
    <s v="Bachelors degree"/>
    <s v="Computer &amp; Mathematical"/>
    <n v="242"/>
    <n v="299"/>
  </r>
  <r>
    <x v="14"/>
    <s v="Cust-SS-15"/>
    <x v="1"/>
    <x v="2"/>
    <x v="1"/>
    <n v="26"/>
    <s v="Married partner"/>
    <s v="No"/>
    <s v="Bachelors degree"/>
    <s v="Computer &amp; Mathematical"/>
    <n v="242"/>
    <n v="299"/>
  </r>
  <r>
    <x v="15"/>
    <s v="Cust-SS-16"/>
    <x v="0"/>
    <x v="1"/>
    <x v="0"/>
    <n v="31"/>
    <s v="Married partner"/>
    <s v="No"/>
    <s v="Some college"/>
    <s v="Computer &amp; Mathematical"/>
    <n v="292"/>
    <n v="376"/>
  </r>
  <r>
    <x v="15"/>
    <s v="Cust-SS-16"/>
    <x v="1"/>
    <x v="1"/>
    <x v="0"/>
    <n v="31"/>
    <s v="Married partner"/>
    <s v="No"/>
    <s v="Some college"/>
    <s v="Computer &amp; Mathematical"/>
    <n v="292"/>
    <n v="376"/>
  </r>
  <r>
    <x v="16"/>
    <s v="Cust-SS-17"/>
    <x v="0"/>
    <x v="2"/>
    <x v="0"/>
    <n v="36"/>
    <s v="Divorced"/>
    <s v="No"/>
    <s v="Associates degree"/>
    <s v="Computer &amp; Mathematical"/>
    <n v="477"/>
    <n v="546"/>
  </r>
  <r>
    <x v="16"/>
    <s v="Cust-SS-17"/>
    <x v="1"/>
    <x v="2"/>
    <x v="0"/>
    <n v="36"/>
    <s v="Divorced"/>
    <s v="No"/>
    <s v="Associates degree"/>
    <s v="Computer &amp; Mathematical"/>
    <n v="477"/>
    <n v="546"/>
  </r>
  <r>
    <x v="17"/>
    <s v="Cust-SS-18"/>
    <x v="1"/>
    <x v="1"/>
    <x v="0"/>
    <n v="50"/>
    <s v="Single"/>
    <s v="No"/>
    <s v="Masters or Doctorate"/>
    <s v="Education&amp;Training&amp;Library"/>
    <n v="446"/>
    <n v="490"/>
  </r>
  <r>
    <x v="18"/>
    <s v="Cust-SS-19"/>
    <x v="0"/>
    <x v="0"/>
    <x v="1"/>
    <n v="41"/>
    <s v="Married partner"/>
    <s v="Yes"/>
    <s v="Masters or Doctorate"/>
    <s v="Education&amp;Training&amp;Library"/>
    <n v="379"/>
    <n v="468"/>
  </r>
  <r>
    <x v="18"/>
    <s v="Cust-SS-19"/>
    <x v="1"/>
    <x v="0"/>
    <x v="1"/>
    <n v="41"/>
    <s v="Married partner"/>
    <s v="Yes"/>
    <s v="Masters or Doctorate"/>
    <s v="Education&amp;Training&amp;Library"/>
    <n v="379"/>
    <n v="468"/>
  </r>
  <r>
    <x v="19"/>
    <s v="Cust-SS-20"/>
    <x v="1"/>
    <x v="1"/>
    <x v="1"/>
    <n v="26"/>
    <s v="Married partner"/>
    <s v="No"/>
    <s v="Masters or Doctorate"/>
    <s v="Community &amp; Social Services"/>
    <n v="232"/>
    <n v="310"/>
  </r>
  <r>
    <x v="20"/>
    <s v="Cust-SS-21"/>
    <x v="0"/>
    <x v="2"/>
    <x v="1"/>
    <n v="41"/>
    <s v="Married partner"/>
    <s v="Yes"/>
    <s v="Masters or Doctorate"/>
    <s v="Education&amp;Training&amp;Library"/>
    <n v="239"/>
    <n v="273"/>
  </r>
  <r>
    <x v="20"/>
    <s v="Cust-SS-21"/>
    <x v="1"/>
    <x v="2"/>
    <x v="1"/>
    <n v="41"/>
    <s v="Married partner"/>
    <s v="Yes"/>
    <s v="Masters or Doctorate"/>
    <s v="Education&amp;Training&amp;Library"/>
    <n v="239"/>
    <n v="273"/>
  </r>
  <r>
    <x v="21"/>
    <s v="Cust-SS-22"/>
    <x v="0"/>
    <x v="1"/>
    <x v="0"/>
    <n v="36"/>
    <s v="Married partner"/>
    <s v="Yes"/>
    <s v="Masters or Doctorate"/>
    <s v="Business &amp; Financial"/>
    <n v="325"/>
    <n v="389"/>
  </r>
  <r>
    <x v="21"/>
    <s v="Cust-SS-22"/>
    <x v="1"/>
    <x v="1"/>
    <x v="0"/>
    <n v="36"/>
    <s v="Married partner"/>
    <s v="Yes"/>
    <s v="Masters or Doctorate"/>
    <s v="Business &amp; Financial"/>
    <n v="325"/>
    <n v="389"/>
  </r>
  <r>
    <x v="22"/>
    <s v="Cust-SS-23"/>
    <x v="0"/>
    <x v="2"/>
    <x v="1"/>
    <n v="50"/>
    <s v="Married partner"/>
    <s v="Yes"/>
    <s v="Some college"/>
    <s v="Computer &amp; Mathematical"/>
    <n v="437"/>
    <n v="512"/>
  </r>
  <r>
    <x v="22"/>
    <s v="Cust-SS-23"/>
    <x v="1"/>
    <x v="2"/>
    <x v="1"/>
    <n v="50"/>
    <s v="Married partner"/>
    <s v="Yes"/>
    <s v="Some college"/>
    <s v="Computer &amp; Mathematical"/>
    <n v="437"/>
    <n v="512"/>
  </r>
  <r>
    <x v="23"/>
    <s v="Cust-SS-24"/>
    <x v="1"/>
    <x v="1"/>
    <x v="1"/>
    <n v="31"/>
    <s v="Married partner"/>
    <s v="Yes"/>
    <s v="Masters or Doctorate"/>
    <s v="Education&amp;Training&amp;Library"/>
    <n v="228"/>
    <n v="321"/>
  </r>
  <r>
    <x v="24"/>
    <s v="Cust-SS-25"/>
    <x v="0"/>
    <x v="0"/>
    <x v="1"/>
    <n v="36"/>
    <s v="Unmarried partner"/>
    <s v="Yes"/>
    <s v="Some college"/>
    <s v="Building &amp; Grounds Cleaning &amp; Maintenance"/>
    <n v="285"/>
    <n v="366"/>
  </r>
  <r>
    <x v="24"/>
    <s v="Cust-SS-25"/>
    <x v="1"/>
    <x v="0"/>
    <x v="1"/>
    <n v="36"/>
    <s v="Unmarried partner"/>
    <s v="Yes"/>
    <s v="Some college"/>
    <s v="Building &amp; Grounds Cleaning &amp; Maintenance"/>
    <n v="285"/>
    <n v="366"/>
  </r>
  <r>
    <x v="25"/>
    <s v="Cust-SS-26"/>
    <x v="1"/>
    <x v="1"/>
    <x v="0"/>
    <n v="36"/>
    <s v="Single"/>
    <s v="Yes"/>
    <s v="Masters or Doctorate"/>
    <s v="Education&amp;Training&amp;Library"/>
    <n v="224"/>
    <n v="297"/>
  </r>
  <r>
    <x v="26"/>
    <s v="Cust-SS-27"/>
    <x v="0"/>
    <x v="2"/>
    <x v="0"/>
    <n v="50"/>
    <s v="Married partner"/>
    <s v="Yes"/>
    <s v="Some college"/>
    <s v="Education&amp;Training&amp;Library"/>
    <n v="201"/>
    <n v="292"/>
  </r>
  <r>
    <x v="26"/>
    <s v="Cust-SS-27"/>
    <x v="1"/>
    <x v="2"/>
    <x v="0"/>
    <n v="50"/>
    <s v="Married partner"/>
    <s v="Yes"/>
    <s v="Some college"/>
    <s v="Education&amp;Training&amp;Library"/>
    <n v="201"/>
    <n v="292"/>
  </r>
  <r>
    <x v="27"/>
    <s v="Cust-SS-28"/>
    <x v="0"/>
    <x v="1"/>
    <x v="1"/>
    <n v="21"/>
    <s v="Unmarried partner"/>
    <s v="No"/>
    <s v="Bachelors degree"/>
    <s v="Education&amp;Training&amp;Library"/>
    <n v="196"/>
    <n v="251"/>
  </r>
  <r>
    <x v="27"/>
    <s v="Cust-SS-28"/>
    <x v="1"/>
    <x v="1"/>
    <x v="1"/>
    <n v="21"/>
    <s v="Unmarried partner"/>
    <s v="No"/>
    <s v="Bachelors degree"/>
    <s v="Education&amp;Training&amp;Library"/>
    <n v="196"/>
    <n v="251"/>
  </r>
  <r>
    <x v="28"/>
    <s v="Cust-SS-29"/>
    <x v="0"/>
    <x v="2"/>
    <x v="0"/>
    <n v="31"/>
    <s v="Married partner"/>
    <s v="No"/>
    <s v="Some college"/>
    <s v="Computer &amp; Mathematical"/>
    <n v="196"/>
    <n v="283"/>
  </r>
  <r>
    <x v="28"/>
    <s v="Cust-SS-29"/>
    <x v="1"/>
    <x v="2"/>
    <x v="0"/>
    <n v="31"/>
    <s v="Married partner"/>
    <s v="No"/>
    <s v="Some college"/>
    <s v="Computer &amp; Mathematical"/>
    <n v="196"/>
    <n v="283"/>
  </r>
  <r>
    <x v="29"/>
    <s v="Cust-SS-30"/>
    <x v="1"/>
    <x v="1"/>
    <x v="0"/>
    <n v="50"/>
    <s v="Married partner"/>
    <s v="Yes"/>
    <s v="Bachelors degree"/>
    <s v="Education&amp;Training&amp;Library"/>
    <n v="287"/>
    <n v="376"/>
  </r>
  <r>
    <x v="30"/>
    <s v="Cust-SS-31"/>
    <x v="0"/>
    <x v="0"/>
    <x v="1"/>
    <n v="21"/>
    <s v="Unmarried partner"/>
    <s v="No"/>
    <s v="Some college"/>
    <s v="Education&amp;Training&amp;Library"/>
    <n v="275"/>
    <n v="346"/>
  </r>
  <r>
    <x v="30"/>
    <s v="Cust-SS-31"/>
    <x v="1"/>
    <x v="0"/>
    <x v="1"/>
    <n v="21"/>
    <s v="Unmarried partner"/>
    <s v="No"/>
    <s v="Some college"/>
    <s v="Education&amp;Training&amp;Library"/>
    <n v="275"/>
    <n v="346"/>
  </r>
  <r>
    <x v="31"/>
    <s v="Cust-SS-32"/>
    <x v="1"/>
    <x v="1"/>
    <x v="0"/>
    <n v="31"/>
    <s v="Married partner"/>
    <s v="Yes"/>
    <s v="Some college"/>
    <s v="Arts, Design, Sports, Media"/>
    <n v="339"/>
    <n v="402"/>
  </r>
  <r>
    <x v="32"/>
    <s v="Cust-SS-33"/>
    <x v="0"/>
    <x v="2"/>
    <x v="1"/>
    <n v="21"/>
    <s v="Single"/>
    <s v="No"/>
    <s v="Bachelors degree"/>
    <s v="Computer &amp; Mathematical"/>
    <n v="442"/>
    <n v="485"/>
  </r>
  <r>
    <x v="32"/>
    <s v="Cust-SS-33"/>
    <x v="1"/>
    <x v="2"/>
    <x v="1"/>
    <n v="21"/>
    <s v="Single"/>
    <s v="No"/>
    <s v="Bachelors degree"/>
    <s v="Computer &amp; Mathematical"/>
    <n v="442"/>
    <n v="485"/>
  </r>
  <r>
    <x v="33"/>
    <s v="Cust-SS-34"/>
    <x v="0"/>
    <x v="1"/>
    <x v="0"/>
    <n v="36"/>
    <s v="Married partner"/>
    <s v="Yes"/>
    <s v="Bachelors degree"/>
    <s v="Education&amp;Training&amp;Library"/>
    <n v="171"/>
    <n v="262"/>
  </r>
  <r>
    <x v="33"/>
    <s v="Cust-SS-34"/>
    <x v="1"/>
    <x v="1"/>
    <x v="0"/>
    <n v="36"/>
    <s v="Married partner"/>
    <s v="Yes"/>
    <s v="Bachelors degree"/>
    <s v="Education&amp;Training&amp;Library"/>
    <n v="171"/>
    <n v="262"/>
  </r>
  <r>
    <x v="34"/>
    <s v="Cust-SS-35"/>
    <x v="0"/>
    <x v="2"/>
    <x v="1"/>
    <n v="31"/>
    <s v="Married partner"/>
    <s v="Yes"/>
    <s v="Bachelors degree"/>
    <s v="Computer &amp; Mathematical"/>
    <n v="479"/>
    <n v="555"/>
  </r>
  <r>
    <x v="34"/>
    <s v="Cust-SS-35"/>
    <x v="1"/>
    <x v="2"/>
    <x v="1"/>
    <n v="31"/>
    <s v="Married partner"/>
    <s v="Yes"/>
    <s v="Bachelors degree"/>
    <s v="Computer &amp; Mathematical"/>
    <n v="479"/>
    <n v="555"/>
  </r>
  <r>
    <x v="35"/>
    <s v="Cust-SS-36"/>
    <x v="1"/>
    <x v="1"/>
    <x v="1"/>
    <n v="26"/>
    <s v="Married partner"/>
    <s v="Yes"/>
    <s v="Bachelors degree"/>
    <s v="Computer &amp; Mathematical"/>
    <n v="171"/>
    <n v="262"/>
  </r>
  <r>
    <x v="36"/>
    <s v="Cust-SS-37"/>
    <x v="0"/>
    <x v="0"/>
    <x v="0"/>
    <n v="41"/>
    <s v="Married partner"/>
    <s v="Yes"/>
    <s v="Masters or Doctorate"/>
    <s v="Computer &amp; Mathematical"/>
    <n v="260"/>
    <n v="340"/>
  </r>
  <r>
    <x v="36"/>
    <s v="Cust-SS-37"/>
    <x v="1"/>
    <x v="0"/>
    <x v="0"/>
    <n v="41"/>
    <s v="Married partner"/>
    <s v="Yes"/>
    <s v="Masters or Doctorate"/>
    <s v="Computer &amp; Mathematical"/>
    <n v="260"/>
    <n v="340"/>
  </r>
  <r>
    <x v="37"/>
    <s v="Cust-SS-38"/>
    <x v="1"/>
    <x v="1"/>
    <x v="0"/>
    <n v="31"/>
    <s v="Divorced"/>
    <s v="Yes"/>
    <s v="High School Graduate"/>
    <s v="Business &amp; Financial"/>
    <n v="107"/>
    <n v="162"/>
  </r>
  <r>
    <x v="38"/>
    <s v="Cust-SS-39"/>
    <x v="0"/>
    <x v="2"/>
    <x v="1"/>
    <n v="36"/>
    <s v="Unmarried partner"/>
    <s v="Yes"/>
    <s v="Some college"/>
    <s v="Building &amp; Grounds Cleaning &amp; Maintenance"/>
    <n v="262"/>
    <n v="325"/>
  </r>
  <r>
    <x v="38"/>
    <s v="Cust-SS-39"/>
    <x v="1"/>
    <x v="2"/>
    <x v="1"/>
    <n v="36"/>
    <s v="Unmarried partner"/>
    <s v="Yes"/>
    <s v="Some college"/>
    <s v="Building &amp; Grounds Cleaning &amp; Maintenance"/>
    <n v="262"/>
    <n v="325"/>
  </r>
  <r>
    <x v="39"/>
    <s v="Cust-SS-40"/>
    <x v="0"/>
    <x v="1"/>
    <x v="0"/>
    <n v="31"/>
    <s v="Married partner"/>
    <s v="Yes"/>
    <s v="Some college"/>
    <s v="Arts, Design, Sports, Media"/>
    <n v="411"/>
    <n v="491"/>
  </r>
  <r>
    <x v="39"/>
    <s v="Cust-SS-40"/>
    <x v="1"/>
    <x v="1"/>
    <x v="0"/>
    <n v="31"/>
    <s v="Married partner"/>
    <s v="Yes"/>
    <s v="Some college"/>
    <s v="Arts, Design, Sports, Media"/>
    <n v="411"/>
    <n v="491"/>
  </r>
  <r>
    <x v="40"/>
    <s v="Cust-SS-41"/>
    <x v="0"/>
    <x v="2"/>
    <x v="0"/>
    <n v="26"/>
    <s v="Single"/>
    <s v="No"/>
    <s v="Bachelors degree"/>
    <s v="Education&amp;Training&amp;Library"/>
    <n v="176"/>
    <n v="261"/>
  </r>
  <r>
    <x v="40"/>
    <s v="Cust-SS-41"/>
    <x v="1"/>
    <x v="2"/>
    <x v="0"/>
    <n v="26"/>
    <s v="Single"/>
    <s v="No"/>
    <s v="Bachelors degree"/>
    <s v="Education&amp;Training&amp;Library"/>
    <n v="176"/>
    <n v="261"/>
  </r>
  <r>
    <x v="41"/>
    <s v="Cust-SS-42"/>
    <x v="1"/>
    <x v="1"/>
    <x v="0"/>
    <n v="50"/>
    <s v="Single"/>
    <s v="No"/>
    <s v="Masters or Doctorate"/>
    <s v="Education&amp;Training&amp;Library"/>
    <n v="423"/>
    <n v="512"/>
  </r>
  <r>
    <x v="42"/>
    <s v="Cust-SS-43"/>
    <x v="0"/>
    <x v="0"/>
    <x v="1"/>
    <n v="21"/>
    <s v="Unmarried partner"/>
    <s v="No"/>
    <s v="Bachelors degree"/>
    <s v="Business &amp; Financial"/>
    <n v="395"/>
    <n v="483"/>
  </r>
  <r>
    <x v="42"/>
    <s v="Cust-SS-43"/>
    <x v="1"/>
    <x v="0"/>
    <x v="1"/>
    <n v="21"/>
    <s v="Unmarried partner"/>
    <s v="No"/>
    <s v="Bachelors degree"/>
    <s v="Business &amp; Financial"/>
    <n v="395"/>
    <n v="483"/>
  </r>
  <r>
    <x v="43"/>
    <s v="Cust-SS-44"/>
    <x v="1"/>
    <x v="1"/>
    <x v="0"/>
    <n v="41"/>
    <s v="Married partner"/>
    <s v="Yes"/>
    <s v="Some college"/>
    <s v="Education&amp;Training&amp;Library"/>
    <n v="360"/>
    <n v="433"/>
  </r>
  <r>
    <x v="44"/>
    <s v="Cust-SS-45"/>
    <x v="0"/>
    <x v="2"/>
    <x v="1"/>
    <n v="21"/>
    <s v="Unmarried partner"/>
    <s v="No"/>
    <s v="Some college"/>
    <s v="Education&amp;Training&amp;Library"/>
    <n v="118"/>
    <n v="192"/>
  </r>
  <r>
    <x v="44"/>
    <s v="Cust-SS-45"/>
    <x v="1"/>
    <x v="2"/>
    <x v="1"/>
    <n v="21"/>
    <s v="Unmarried partner"/>
    <s v="No"/>
    <s v="Some college"/>
    <s v="Education&amp;Training&amp;Library"/>
    <n v="118"/>
    <n v="192"/>
  </r>
  <r>
    <x v="45"/>
    <s v="Cust-SS-46"/>
    <x v="0"/>
    <x v="1"/>
    <x v="1"/>
    <n v="36"/>
    <s v="Married partner"/>
    <s v="No"/>
    <s v="Bachelors degree"/>
    <s v="Arts, Design, Sports, Media"/>
    <n v="204"/>
    <n v="252"/>
  </r>
  <r>
    <x v="45"/>
    <s v="Cust-SS-46"/>
    <x v="1"/>
    <x v="1"/>
    <x v="1"/>
    <n v="36"/>
    <s v="Married partner"/>
    <s v="No"/>
    <s v="Bachelors degree"/>
    <s v="Arts, Design, Sports, Media"/>
    <n v="204"/>
    <n v="252"/>
  </r>
  <r>
    <x v="46"/>
    <s v="Cust-SS-47"/>
    <x v="0"/>
    <x v="2"/>
    <x v="0"/>
    <n v="41"/>
    <s v="Married partner"/>
    <s v="Yes"/>
    <s v="Bachelors degree"/>
    <s v="Education&amp;Training&amp;Library"/>
    <n v="161"/>
    <n v="242"/>
  </r>
  <r>
    <x v="46"/>
    <s v="Cust-SS-47"/>
    <x v="1"/>
    <x v="2"/>
    <x v="0"/>
    <n v="41"/>
    <s v="Married partner"/>
    <s v="Yes"/>
    <s v="Bachelors degree"/>
    <s v="Education&amp;Training&amp;Library"/>
    <n v="161"/>
    <n v="242"/>
  </r>
  <r>
    <x v="47"/>
    <s v="Cust-SS-48"/>
    <x v="1"/>
    <x v="1"/>
    <x v="1"/>
    <n v="41"/>
    <s v="Married partner"/>
    <s v="Yes"/>
    <s v="Some college"/>
    <s v="Business &amp; Financial"/>
    <n v="302"/>
    <n v="332"/>
  </r>
  <r>
    <x v="48"/>
    <s v="Cust-SS-49"/>
    <x v="0"/>
    <x v="0"/>
    <x v="0"/>
    <n v="41"/>
    <s v="Divorced"/>
    <s v="Yes"/>
    <s v="Bachelors degree"/>
    <s v="Arts, Design, Sports, Media"/>
    <n v="386"/>
    <n v="417"/>
  </r>
  <r>
    <x v="48"/>
    <s v="Cust-SS-49"/>
    <x v="1"/>
    <x v="0"/>
    <x v="0"/>
    <n v="41"/>
    <s v="Divorced"/>
    <s v="Yes"/>
    <s v="Bachelors degree"/>
    <s v="Arts, Design, Sports, Media"/>
    <n v="386"/>
    <n v="417"/>
  </r>
  <r>
    <x v="49"/>
    <s v="Cust-SS-50"/>
    <x v="1"/>
    <x v="1"/>
    <x v="0"/>
    <n v="50"/>
    <s v="Single"/>
    <s v="No"/>
    <s v="Masters or Doctorate"/>
    <s v="Arts, Design, Sports, Media"/>
    <n v="465"/>
    <n v="549"/>
  </r>
  <r>
    <x v="50"/>
    <s v="Cust-SS-51"/>
    <x v="0"/>
    <x v="2"/>
    <x v="0"/>
    <n v="26"/>
    <s v="Single"/>
    <s v="No"/>
    <s v="Bachelors degree"/>
    <s v="Computer &amp; Mathematical"/>
    <n v="405"/>
    <n v="496"/>
  </r>
  <r>
    <x v="50"/>
    <s v="Cust-SS-51"/>
    <x v="1"/>
    <x v="2"/>
    <x v="0"/>
    <n v="26"/>
    <s v="Single"/>
    <s v="No"/>
    <s v="Bachelors degree"/>
    <s v="Computer &amp; Mathematical"/>
    <n v="405"/>
    <n v="496"/>
  </r>
  <r>
    <x v="51"/>
    <s v="Cust-SS-52"/>
    <x v="0"/>
    <x v="1"/>
    <x v="0"/>
    <n v="31"/>
    <s v="Single"/>
    <s v="No"/>
    <s v="Associates degree"/>
    <s v="Arts, Design, Sports, Media"/>
    <n v="142"/>
    <n v="201"/>
  </r>
  <r>
    <x v="51"/>
    <s v="Cust-SS-52"/>
    <x v="1"/>
    <x v="1"/>
    <x v="0"/>
    <n v="31"/>
    <s v="Single"/>
    <s v="No"/>
    <s v="Associates degree"/>
    <s v="Arts, Design, Sports, Media"/>
    <n v="142"/>
    <n v="201"/>
  </r>
  <r>
    <x v="52"/>
    <s v="Cust-SS-53"/>
    <x v="0"/>
    <x v="2"/>
    <x v="1"/>
    <n v="41"/>
    <s v="Married partner"/>
    <s v="Yes"/>
    <s v="Masters or Doctorate"/>
    <s v="Education&amp;Training&amp;Library"/>
    <n v="371"/>
    <n v="455"/>
  </r>
  <r>
    <x v="52"/>
    <s v="Cust-SS-53"/>
    <x v="1"/>
    <x v="2"/>
    <x v="1"/>
    <n v="41"/>
    <s v="Married partner"/>
    <s v="Yes"/>
    <s v="Masters or Doctorate"/>
    <s v="Education&amp;Training&amp;Library"/>
    <n v="371"/>
    <n v="4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showHeaders="0" compact="0" compactData="0" gridDropZones="1" multipleFieldFilters="0" chartFormat="1">
  <location ref="A3:D17" firstHeaderRow="2" firstDataRow="2" firstDataCol="3"/>
  <pivotFields count="14">
    <pivotField compact="0" numFmtId="15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axis="axisRow" compact="0" outline="0" showAll="0" sortType="ascending" defaultSubtotal="0">
      <items count="2">
        <item x="1"/>
        <item x="0"/>
      </items>
    </pivotField>
    <pivotField axis="axisRow" compact="0" outline="0" showAll="0" defaultSubtotal="0">
      <items count="3">
        <item x="2"/>
        <item x="0"/>
        <item x="1"/>
      </items>
    </pivotField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Fields count="3">
    <field x="2"/>
    <field x="3"/>
    <field x="4"/>
  </rowFields>
  <rowItems count="13">
    <i>
      <x/>
      <x/>
      <x/>
    </i>
    <i r="2">
      <x v="1"/>
    </i>
    <i r="1">
      <x v="1"/>
      <x/>
    </i>
    <i r="2">
      <x v="1"/>
    </i>
    <i r="1">
      <x v="2"/>
      <x/>
    </i>
    <i r="2">
      <x v="1"/>
    </i>
    <i>
      <x v="1"/>
      <x/>
      <x/>
    </i>
    <i r="2">
      <x v="1"/>
    </i>
    <i r="1">
      <x v="1"/>
      <x/>
    </i>
    <i r="2">
      <x v="1"/>
    </i>
    <i r="1">
      <x v="2"/>
      <x/>
    </i>
    <i r="2">
      <x v="1"/>
    </i>
    <i t="grand">
      <x/>
    </i>
  </rowItems>
  <colItems count="1">
    <i/>
  </colItems>
  <dataFields count="1">
    <dataField name="Sum of Sale" fld="11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showHeaders="0" compact="0" compactData="0" gridDropZones="1" multipleFieldFilters="0" chartFormat="2">
  <location ref="A3:C11" firstHeaderRow="2" firstDataRow="2" firstDataCol="2"/>
  <pivotFields count="14">
    <pivotField compact="0" numFmtId="15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axis="axisRow" compact="0" outline="0" showAll="0" sortType="ascending" defaultSubtotal="0">
      <items count="2">
        <item x="1"/>
        <item x="0"/>
      </items>
    </pivotField>
    <pivotField axis="axisRow" compact="0" outline="0" showAll="0" defaultSubtotal="0">
      <items count="3">
        <item x="2"/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Fields count="2">
    <field x="2"/>
    <field x="3"/>
  </rowFields>
  <rowItems count="7">
    <i>
      <x/>
      <x/>
    </i>
    <i r="1">
      <x v="1"/>
    </i>
    <i r="1">
      <x v="2"/>
    </i>
    <i>
      <x v="1"/>
      <x/>
    </i>
    <i r="1">
      <x v="1"/>
    </i>
    <i r="1">
      <x v="2"/>
    </i>
    <i t="grand">
      <x/>
    </i>
  </rowItems>
  <colItems count="1">
    <i/>
  </colItems>
  <dataFields count="1">
    <dataField name="Count of Sale" fld="11" subtotal="count" baseField="3" baseItem="2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33" firstHeaderRow="1" firstDataRow="1" firstDataCol="1"/>
  <pivotFields count="14">
    <pivotField axis="axisRow"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8">
        <item sd="0" x="0"/>
        <item x="1"/>
        <item x="2"/>
        <item x="3"/>
        <item x="4"/>
        <item x="5"/>
        <item x="6"/>
        <item sd="0" x="7"/>
      </items>
    </pivotField>
  </pivotFields>
  <rowFields count="3">
    <field x="13"/>
    <field x="12"/>
    <field x="0"/>
  </rowFields>
  <rowItems count="30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>
      <x v="5"/>
    </i>
    <i r="1">
      <x v="1"/>
    </i>
    <i r="1">
      <x v="2"/>
    </i>
    <i r="1">
      <x v="3"/>
    </i>
    <i r="1">
      <x v="4"/>
    </i>
    <i>
      <x v="6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Sale" fld="11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7" firstHeaderRow="1" firstDataRow="1" firstDataCol="1"/>
  <pivotFields count="14"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8">
        <item sd="0" x="0"/>
        <item x="1"/>
        <item x="2"/>
        <item x="3"/>
        <item x="4"/>
        <item x="5"/>
        <item x="6"/>
        <item sd="0" x="7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" fld="11" baseField="0" baseItem="0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7"/>
  <sheetViews>
    <sheetView tabSelected="1" workbookViewId="0">
      <selection activeCell="M22" sqref="M22"/>
    </sheetView>
  </sheetViews>
  <sheetFormatPr defaultRowHeight="14.4" x14ac:dyDescent="0.3"/>
  <cols>
    <col min="1" max="1" width="10.88671875" bestFit="1" customWidth="1"/>
    <col min="2" max="2" width="7.6640625" bestFit="1" customWidth="1"/>
    <col min="3" max="3" width="6.88671875" customWidth="1"/>
    <col min="4" max="4" width="6" customWidth="1"/>
  </cols>
  <sheetData>
    <row r="3" spans="1:4" x14ac:dyDescent="0.3">
      <c r="A3" s="3" t="s">
        <v>92</v>
      </c>
    </row>
    <row r="4" spans="1:4" x14ac:dyDescent="0.3">
      <c r="D4" t="s">
        <v>93</v>
      </c>
    </row>
    <row r="5" spans="1:4" x14ac:dyDescent="0.3">
      <c r="A5" t="s">
        <v>94</v>
      </c>
      <c r="B5" t="s">
        <v>27</v>
      </c>
      <c r="C5" t="s">
        <v>15</v>
      </c>
      <c r="D5" s="5">
        <v>2934</v>
      </c>
    </row>
    <row r="6" spans="1:4" x14ac:dyDescent="0.3">
      <c r="C6" t="s">
        <v>23</v>
      </c>
      <c r="D6" s="5">
        <v>3620</v>
      </c>
    </row>
    <row r="7" spans="1:4" x14ac:dyDescent="0.3">
      <c r="B7" t="s">
        <v>14</v>
      </c>
      <c r="C7" t="s">
        <v>15</v>
      </c>
      <c r="D7" s="5">
        <v>1488</v>
      </c>
    </row>
    <row r="8" spans="1:4" x14ac:dyDescent="0.3">
      <c r="C8" t="s">
        <v>23</v>
      </c>
      <c r="D8" s="5">
        <v>1919</v>
      </c>
    </row>
    <row r="9" spans="1:4" x14ac:dyDescent="0.3">
      <c r="B9" t="s">
        <v>22</v>
      </c>
      <c r="C9" t="s">
        <v>15</v>
      </c>
      <c r="D9" s="5">
        <v>5612</v>
      </c>
    </row>
    <row r="10" spans="1:4" x14ac:dyDescent="0.3">
      <c r="C10" t="s">
        <v>23</v>
      </c>
      <c r="D10" s="5">
        <v>3622</v>
      </c>
    </row>
    <row r="11" spans="1:4" x14ac:dyDescent="0.3">
      <c r="A11" t="s">
        <v>13</v>
      </c>
      <c r="B11" t="s">
        <v>27</v>
      </c>
      <c r="C11" t="s">
        <v>15</v>
      </c>
      <c r="D11" s="5">
        <v>2934</v>
      </c>
    </row>
    <row r="12" spans="1:4" x14ac:dyDescent="0.3">
      <c r="C12" t="s">
        <v>23</v>
      </c>
      <c r="D12" s="5">
        <v>3620</v>
      </c>
    </row>
    <row r="13" spans="1:4" x14ac:dyDescent="0.3">
      <c r="B13" t="s">
        <v>14</v>
      </c>
      <c r="C13" t="s">
        <v>15</v>
      </c>
      <c r="D13" s="5">
        <v>1488</v>
      </c>
    </row>
    <row r="14" spans="1:4" x14ac:dyDescent="0.3">
      <c r="C14" t="s">
        <v>23</v>
      </c>
      <c r="D14" s="5">
        <v>1919</v>
      </c>
    </row>
    <row r="15" spans="1:4" x14ac:dyDescent="0.3">
      <c r="B15" t="s">
        <v>22</v>
      </c>
      <c r="C15" t="s">
        <v>15</v>
      </c>
      <c r="D15" s="5">
        <v>1913</v>
      </c>
    </row>
    <row r="16" spans="1:4" x14ac:dyDescent="0.3">
      <c r="C16" t="s">
        <v>23</v>
      </c>
      <c r="D16" s="5">
        <v>702</v>
      </c>
    </row>
    <row r="17" spans="1:4" x14ac:dyDescent="0.3">
      <c r="A17" t="s">
        <v>91</v>
      </c>
      <c r="D17" s="5">
        <v>31771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1"/>
  <sheetViews>
    <sheetView workbookViewId="0">
      <selection activeCell="B30" sqref="B30"/>
    </sheetView>
  </sheetViews>
  <sheetFormatPr defaultRowHeight="14.4" x14ac:dyDescent="0.3"/>
  <cols>
    <col min="1" max="1" width="10.88671875" bestFit="1" customWidth="1"/>
    <col min="2" max="2" width="5.44140625" customWidth="1"/>
    <col min="3" max="3" width="5.21875" customWidth="1"/>
    <col min="4" max="4" width="6" customWidth="1"/>
  </cols>
  <sheetData>
    <row r="3" spans="1:3" x14ac:dyDescent="0.3">
      <c r="A3" s="3" t="s">
        <v>122</v>
      </c>
    </row>
    <row r="4" spans="1:3" x14ac:dyDescent="0.3">
      <c r="C4" t="s">
        <v>93</v>
      </c>
    </row>
    <row r="5" spans="1:3" x14ac:dyDescent="0.3">
      <c r="A5" t="s">
        <v>94</v>
      </c>
      <c r="B5" t="s">
        <v>27</v>
      </c>
      <c r="C5" s="5">
        <v>18</v>
      </c>
    </row>
    <row r="6" spans="1:3" x14ac:dyDescent="0.3">
      <c r="B6" t="s">
        <v>14</v>
      </c>
      <c r="C6" s="5">
        <v>9</v>
      </c>
    </row>
    <row r="7" spans="1:3" x14ac:dyDescent="0.3">
      <c r="B7" t="s">
        <v>22</v>
      </c>
      <c r="C7" s="5">
        <v>26</v>
      </c>
    </row>
    <row r="8" spans="1:3" x14ac:dyDescent="0.3">
      <c r="A8" t="s">
        <v>13</v>
      </c>
      <c r="B8" t="s">
        <v>27</v>
      </c>
      <c r="C8" s="5">
        <v>18</v>
      </c>
    </row>
    <row r="9" spans="1:3" x14ac:dyDescent="0.3">
      <c r="B9" t="s">
        <v>14</v>
      </c>
      <c r="C9" s="5">
        <v>9</v>
      </c>
    </row>
    <row r="10" spans="1:3" x14ac:dyDescent="0.3">
      <c r="B10" t="s">
        <v>22</v>
      </c>
      <c r="C10" s="5">
        <v>9</v>
      </c>
    </row>
    <row r="11" spans="1:3" x14ac:dyDescent="0.3">
      <c r="A11" t="s">
        <v>91</v>
      </c>
      <c r="C11" s="5">
        <v>89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3"/>
  <sheetViews>
    <sheetView workbookViewId="0">
      <selection activeCell="J4" sqref="J4"/>
    </sheetView>
  </sheetViews>
  <sheetFormatPr defaultRowHeight="14.4" x14ac:dyDescent="0.3"/>
  <cols>
    <col min="1" max="1" width="12.5546875" bestFit="1" customWidth="1"/>
    <col min="2" max="2" width="10.88671875" bestFit="1" customWidth="1"/>
  </cols>
  <sheetData>
    <row r="3" spans="1:2" x14ac:dyDescent="0.3">
      <c r="A3" s="3" t="s">
        <v>90</v>
      </c>
      <c r="B3" t="s">
        <v>92</v>
      </c>
    </row>
    <row r="4" spans="1:2" x14ac:dyDescent="0.3">
      <c r="A4" s="4" t="s">
        <v>95</v>
      </c>
      <c r="B4" s="5"/>
    </row>
    <row r="5" spans="1:2" x14ac:dyDescent="0.3">
      <c r="A5" s="6" t="s">
        <v>96</v>
      </c>
      <c r="B5" s="5">
        <v>742</v>
      </c>
    </row>
    <row r="6" spans="1:2" x14ac:dyDescent="0.3">
      <c r="A6" s="6" t="s">
        <v>97</v>
      </c>
      <c r="B6" s="5">
        <v>2041</v>
      </c>
    </row>
    <row r="7" spans="1:2" x14ac:dyDescent="0.3">
      <c r="A7" s="6" t="s">
        <v>98</v>
      </c>
      <c r="B7" s="5">
        <v>1795</v>
      </c>
    </row>
    <row r="8" spans="1:2" x14ac:dyDescent="0.3">
      <c r="A8" s="6" t="s">
        <v>99</v>
      </c>
      <c r="B8" s="5">
        <v>1156</v>
      </c>
    </row>
    <row r="9" spans="1:2" x14ac:dyDescent="0.3">
      <c r="A9" s="4" t="s">
        <v>100</v>
      </c>
      <c r="B9" s="5"/>
    </row>
    <row r="10" spans="1:2" x14ac:dyDescent="0.3">
      <c r="A10" s="6" t="s">
        <v>96</v>
      </c>
      <c r="B10" s="5">
        <v>885</v>
      </c>
    </row>
    <row r="11" spans="1:2" x14ac:dyDescent="0.3">
      <c r="A11" s="6" t="s">
        <v>97</v>
      </c>
      <c r="B11" s="5">
        <v>990</v>
      </c>
    </row>
    <row r="12" spans="1:2" x14ac:dyDescent="0.3">
      <c r="A12" s="6" t="s">
        <v>98</v>
      </c>
      <c r="B12" s="5">
        <v>1350</v>
      </c>
    </row>
    <row r="13" spans="1:2" x14ac:dyDescent="0.3">
      <c r="A13" s="6" t="s">
        <v>99</v>
      </c>
      <c r="B13" s="5">
        <v>1092</v>
      </c>
    </row>
    <row r="14" spans="1:2" x14ac:dyDescent="0.3">
      <c r="A14" s="4" t="s">
        <v>101</v>
      </c>
      <c r="B14" s="5"/>
    </row>
    <row r="15" spans="1:2" x14ac:dyDescent="0.3">
      <c r="A15" s="6" t="s">
        <v>96</v>
      </c>
      <c r="B15" s="5">
        <v>1426</v>
      </c>
    </row>
    <row r="16" spans="1:2" x14ac:dyDescent="0.3">
      <c r="A16" s="6" t="s">
        <v>97</v>
      </c>
      <c r="B16" s="5">
        <v>1634</v>
      </c>
    </row>
    <row r="17" spans="1:2" x14ac:dyDescent="0.3">
      <c r="A17" s="6" t="s">
        <v>98</v>
      </c>
      <c r="B17" s="5">
        <v>1345</v>
      </c>
    </row>
    <row r="18" spans="1:2" x14ac:dyDescent="0.3">
      <c r="A18" s="6" t="s">
        <v>99</v>
      </c>
      <c r="B18" s="5">
        <v>732</v>
      </c>
    </row>
    <row r="19" spans="1:2" x14ac:dyDescent="0.3">
      <c r="A19" s="4" t="s">
        <v>102</v>
      </c>
      <c r="B19" s="5"/>
    </row>
    <row r="20" spans="1:2" x14ac:dyDescent="0.3">
      <c r="A20" s="6" t="s">
        <v>96</v>
      </c>
      <c r="B20" s="5">
        <v>297</v>
      </c>
    </row>
    <row r="21" spans="1:2" x14ac:dyDescent="0.3">
      <c r="A21" s="6" t="s">
        <v>97</v>
      </c>
      <c r="B21" s="5">
        <v>584</v>
      </c>
    </row>
    <row r="22" spans="1:2" x14ac:dyDescent="0.3">
      <c r="A22" s="6" t="s">
        <v>98</v>
      </c>
      <c r="B22" s="5">
        <v>502</v>
      </c>
    </row>
    <row r="23" spans="1:2" x14ac:dyDescent="0.3">
      <c r="A23" s="6" t="s">
        <v>99</v>
      </c>
      <c r="B23" s="5">
        <v>1634</v>
      </c>
    </row>
    <row r="24" spans="1:2" x14ac:dyDescent="0.3">
      <c r="A24" s="4" t="s">
        <v>103</v>
      </c>
      <c r="B24" s="5"/>
    </row>
    <row r="25" spans="1:2" x14ac:dyDescent="0.3">
      <c r="A25" s="6" t="s">
        <v>96</v>
      </c>
      <c r="B25" s="5">
        <v>1372</v>
      </c>
    </row>
    <row r="26" spans="1:2" x14ac:dyDescent="0.3">
      <c r="A26" s="6" t="s">
        <v>97</v>
      </c>
      <c r="B26" s="5">
        <v>1896</v>
      </c>
    </row>
    <row r="27" spans="1:2" x14ac:dyDescent="0.3">
      <c r="A27" s="6" t="s">
        <v>98</v>
      </c>
      <c r="B27" s="5">
        <v>2474</v>
      </c>
    </row>
    <row r="28" spans="1:2" x14ac:dyDescent="0.3">
      <c r="A28" s="6" t="s">
        <v>99</v>
      </c>
      <c r="B28" s="5">
        <v>2817</v>
      </c>
    </row>
    <row r="29" spans="1:2" x14ac:dyDescent="0.3">
      <c r="A29" s="4" t="s">
        <v>104</v>
      </c>
      <c r="B29" s="5"/>
    </row>
    <row r="30" spans="1:2" x14ac:dyDescent="0.3">
      <c r="A30" s="6" t="s">
        <v>96</v>
      </c>
      <c r="B30" s="5">
        <v>2154</v>
      </c>
    </row>
    <row r="31" spans="1:2" x14ac:dyDescent="0.3">
      <c r="A31" s="6" t="s">
        <v>97</v>
      </c>
      <c r="B31" s="5">
        <v>1541</v>
      </c>
    </row>
    <row r="32" spans="1:2" x14ac:dyDescent="0.3">
      <c r="A32" s="6" t="s">
        <v>98</v>
      </c>
      <c r="B32" s="5">
        <v>1312</v>
      </c>
    </row>
    <row r="33" spans="1:2" x14ac:dyDescent="0.3">
      <c r="A33" s="4" t="s">
        <v>91</v>
      </c>
      <c r="B33" s="5">
        <v>31771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C25" sqref="C25"/>
    </sheetView>
  </sheetViews>
  <sheetFormatPr defaultRowHeight="14.4" x14ac:dyDescent="0.3"/>
  <cols>
    <col min="1" max="1" width="12.5546875" customWidth="1"/>
    <col min="2" max="2" width="10.88671875" bestFit="1" customWidth="1"/>
  </cols>
  <sheetData>
    <row r="3" spans="1:2" x14ac:dyDescent="0.3">
      <c r="A3" s="3" t="s">
        <v>90</v>
      </c>
      <c r="B3" t="s">
        <v>92</v>
      </c>
    </row>
    <row r="4" spans="1:2" x14ac:dyDescent="0.3">
      <c r="A4" s="4" t="s">
        <v>27</v>
      </c>
      <c r="B4" s="5">
        <v>13108</v>
      </c>
    </row>
    <row r="5" spans="1:2" x14ac:dyDescent="0.3">
      <c r="A5" s="4" t="s">
        <v>14</v>
      </c>
      <c r="B5" s="5">
        <v>6814</v>
      </c>
    </row>
    <row r="6" spans="1:2" x14ac:dyDescent="0.3">
      <c r="A6" s="4" t="s">
        <v>22</v>
      </c>
      <c r="B6" s="5">
        <v>11849</v>
      </c>
    </row>
    <row r="7" spans="1:2" x14ac:dyDescent="0.3">
      <c r="A7" s="4" t="s">
        <v>91</v>
      </c>
      <c r="B7" s="5">
        <v>31771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"/>
  <sheetViews>
    <sheetView workbookViewId="0">
      <selection activeCell="I20" sqref="I20"/>
    </sheetView>
  </sheetViews>
  <sheetFormatPr defaultRowHeight="14.4" x14ac:dyDescent="0.3"/>
  <cols>
    <col min="1" max="1" width="9.88671875" bestFit="1" customWidth="1"/>
    <col min="2" max="2" width="9.6640625" bestFit="1" customWidth="1"/>
    <col min="3" max="3" width="11.6640625" customWidth="1"/>
    <col min="4" max="4" width="8.109375" bestFit="1" customWidth="1"/>
    <col min="5" max="5" width="6.5546875" bestFit="1" customWidth="1"/>
    <col min="6" max="6" width="6.88671875" bestFit="1" customWidth="1"/>
    <col min="7" max="7" width="3.88671875" bestFit="1" customWidth="1"/>
    <col min="8" max="8" width="16.21875" bestFit="1" customWidth="1"/>
    <col min="9" max="9" width="11.21875" bestFit="1" customWidth="1"/>
    <col min="10" max="10" width="18.77734375" bestFit="1" customWidth="1"/>
    <col min="11" max="11" width="37.21875" bestFit="1" customWidth="1"/>
    <col min="12" max="12" width="4.6640625" bestFit="1" customWidth="1"/>
    <col min="13" max="13" width="4.33203125" bestFit="1" customWidth="1"/>
  </cols>
  <sheetData>
    <row r="1" spans="1:14" x14ac:dyDescent="0.3">
      <c r="A1" t="s">
        <v>0</v>
      </c>
      <c r="B1" s="1" t="s">
        <v>1</v>
      </c>
      <c r="C1" s="1" t="s">
        <v>106</v>
      </c>
      <c r="D1" s="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105</v>
      </c>
    </row>
    <row r="2" spans="1:14" x14ac:dyDescent="0.3">
      <c r="A2" s="2">
        <v>42415</v>
      </c>
      <c r="B2" s="2" t="s">
        <v>12</v>
      </c>
      <c r="C2" s="2" t="s">
        <v>107</v>
      </c>
      <c r="D2" s="2" t="s">
        <v>13</v>
      </c>
      <c r="E2" s="2" t="s">
        <v>14</v>
      </c>
      <c r="F2" t="s">
        <v>15</v>
      </c>
      <c r="G2">
        <v>26</v>
      </c>
      <c r="H2" t="s">
        <v>16</v>
      </c>
      <c r="I2" t="s">
        <v>17</v>
      </c>
      <c r="J2" t="s">
        <v>18</v>
      </c>
      <c r="K2" t="s">
        <v>19</v>
      </c>
      <c r="L2">
        <v>320</v>
      </c>
      <c r="M2">
        <v>371</v>
      </c>
      <c r="N2">
        <f>M2-L2</f>
        <v>51</v>
      </c>
    </row>
    <row r="3" spans="1:14" x14ac:dyDescent="0.3">
      <c r="A3" s="2">
        <v>42415</v>
      </c>
      <c r="B3" s="2" t="s">
        <v>12</v>
      </c>
      <c r="C3" s="2" t="s">
        <v>108</v>
      </c>
      <c r="D3" s="2" t="s">
        <v>94</v>
      </c>
      <c r="E3" s="2" t="s">
        <v>14</v>
      </c>
      <c r="F3" t="s">
        <v>15</v>
      </c>
      <c r="G3">
        <v>26</v>
      </c>
      <c r="H3" t="s">
        <v>16</v>
      </c>
      <c r="I3" t="s">
        <v>17</v>
      </c>
      <c r="J3" t="s">
        <v>18</v>
      </c>
      <c r="K3" t="s">
        <v>19</v>
      </c>
      <c r="L3">
        <v>320</v>
      </c>
      <c r="M3">
        <v>371</v>
      </c>
      <c r="N3">
        <f t="shared" ref="N3:N66" si="0">M3-L3</f>
        <v>51</v>
      </c>
    </row>
    <row r="4" spans="1:14" x14ac:dyDescent="0.3">
      <c r="A4" s="2">
        <v>42490</v>
      </c>
      <c r="B4" s="2" t="s">
        <v>20</v>
      </c>
      <c r="C4" s="2" t="s">
        <v>107</v>
      </c>
      <c r="D4" s="2" t="s">
        <v>21</v>
      </c>
      <c r="E4" s="2" t="s">
        <v>22</v>
      </c>
      <c r="F4" t="s">
        <v>23</v>
      </c>
      <c r="G4">
        <v>26</v>
      </c>
      <c r="H4" t="s">
        <v>24</v>
      </c>
      <c r="I4" t="s">
        <v>25</v>
      </c>
      <c r="J4" t="s">
        <v>18</v>
      </c>
      <c r="K4" t="s">
        <v>19</v>
      </c>
      <c r="L4">
        <v>490</v>
      </c>
      <c r="M4">
        <v>533</v>
      </c>
      <c r="N4">
        <f t="shared" si="0"/>
        <v>43</v>
      </c>
    </row>
    <row r="5" spans="1:14" x14ac:dyDescent="0.3">
      <c r="A5" s="2">
        <v>42520</v>
      </c>
      <c r="B5" s="2" t="s">
        <v>26</v>
      </c>
      <c r="C5" s="2" t="s">
        <v>109</v>
      </c>
      <c r="D5" s="2" t="s">
        <v>13</v>
      </c>
      <c r="E5" s="2" t="s">
        <v>27</v>
      </c>
      <c r="F5" t="s">
        <v>15</v>
      </c>
      <c r="G5">
        <v>36</v>
      </c>
      <c r="H5" t="s">
        <v>28</v>
      </c>
      <c r="I5" t="s">
        <v>17</v>
      </c>
      <c r="J5" t="s">
        <v>29</v>
      </c>
      <c r="K5" t="s">
        <v>19</v>
      </c>
      <c r="L5">
        <v>464</v>
      </c>
      <c r="M5">
        <v>555</v>
      </c>
      <c r="N5">
        <f t="shared" si="0"/>
        <v>91</v>
      </c>
    </row>
    <row r="6" spans="1:14" x14ac:dyDescent="0.3">
      <c r="A6" s="2">
        <v>42520</v>
      </c>
      <c r="B6" s="2" t="s">
        <v>26</v>
      </c>
      <c r="C6" s="2" t="s">
        <v>110</v>
      </c>
      <c r="D6" s="2" t="s">
        <v>94</v>
      </c>
      <c r="E6" s="2" t="s">
        <v>27</v>
      </c>
      <c r="F6" t="s">
        <v>15</v>
      </c>
      <c r="G6">
        <v>36</v>
      </c>
      <c r="H6" t="s">
        <v>28</v>
      </c>
      <c r="I6" t="s">
        <v>17</v>
      </c>
      <c r="J6" t="s">
        <v>29</v>
      </c>
      <c r="K6" t="s">
        <v>19</v>
      </c>
      <c r="L6">
        <v>464</v>
      </c>
      <c r="M6">
        <v>555</v>
      </c>
      <c r="N6">
        <f t="shared" si="0"/>
        <v>91</v>
      </c>
    </row>
    <row r="7" spans="1:14" x14ac:dyDescent="0.3">
      <c r="A7" s="2">
        <v>42535</v>
      </c>
      <c r="B7" s="2" t="s">
        <v>30</v>
      </c>
      <c r="C7" s="2" t="s">
        <v>111</v>
      </c>
      <c r="D7" s="2" t="s">
        <v>13</v>
      </c>
      <c r="E7" s="2" t="s">
        <v>22</v>
      </c>
      <c r="F7" t="s">
        <v>23</v>
      </c>
      <c r="G7">
        <v>41</v>
      </c>
      <c r="H7" t="s">
        <v>24</v>
      </c>
      <c r="I7" t="s">
        <v>17</v>
      </c>
      <c r="J7" t="s">
        <v>31</v>
      </c>
      <c r="K7" t="s">
        <v>19</v>
      </c>
      <c r="L7">
        <v>100</v>
      </c>
      <c r="M7">
        <v>199</v>
      </c>
      <c r="N7">
        <f t="shared" si="0"/>
        <v>99</v>
      </c>
    </row>
    <row r="8" spans="1:14" x14ac:dyDescent="0.3">
      <c r="A8" s="2">
        <v>42535</v>
      </c>
      <c r="B8" s="2" t="s">
        <v>30</v>
      </c>
      <c r="C8" s="2" t="s">
        <v>112</v>
      </c>
      <c r="D8" s="2" t="s">
        <v>94</v>
      </c>
      <c r="E8" s="2" t="s">
        <v>22</v>
      </c>
      <c r="F8" t="s">
        <v>23</v>
      </c>
      <c r="G8">
        <v>41</v>
      </c>
      <c r="H8" t="s">
        <v>24</v>
      </c>
      <c r="I8" t="s">
        <v>17</v>
      </c>
      <c r="J8" t="s">
        <v>31</v>
      </c>
      <c r="K8" t="s">
        <v>19</v>
      </c>
      <c r="L8">
        <v>100</v>
      </c>
      <c r="M8">
        <v>199</v>
      </c>
      <c r="N8">
        <f t="shared" si="0"/>
        <v>99</v>
      </c>
    </row>
    <row r="9" spans="1:14" x14ac:dyDescent="0.3">
      <c r="A9" s="2">
        <v>42565</v>
      </c>
      <c r="B9" s="2" t="s">
        <v>32</v>
      </c>
      <c r="C9" s="2" t="s">
        <v>113</v>
      </c>
      <c r="D9" s="2" t="s">
        <v>13</v>
      </c>
      <c r="E9" s="2" t="s">
        <v>27</v>
      </c>
      <c r="F9" t="s">
        <v>23</v>
      </c>
      <c r="G9">
        <v>21</v>
      </c>
      <c r="H9" t="s">
        <v>16</v>
      </c>
      <c r="I9" t="s">
        <v>17</v>
      </c>
      <c r="J9" t="s">
        <v>18</v>
      </c>
      <c r="K9" t="s">
        <v>33</v>
      </c>
      <c r="L9">
        <v>105</v>
      </c>
      <c r="M9">
        <v>140</v>
      </c>
      <c r="N9">
        <f t="shared" si="0"/>
        <v>35</v>
      </c>
    </row>
    <row r="10" spans="1:14" x14ac:dyDescent="0.3">
      <c r="A10" s="2">
        <v>42565</v>
      </c>
      <c r="B10" s="2" t="s">
        <v>32</v>
      </c>
      <c r="C10" s="2" t="s">
        <v>114</v>
      </c>
      <c r="D10" s="2" t="s">
        <v>94</v>
      </c>
      <c r="E10" s="2" t="s">
        <v>27</v>
      </c>
      <c r="F10" t="s">
        <v>23</v>
      </c>
      <c r="G10">
        <v>21</v>
      </c>
      <c r="H10" t="s">
        <v>16</v>
      </c>
      <c r="I10" t="s">
        <v>17</v>
      </c>
      <c r="J10" t="s">
        <v>18</v>
      </c>
      <c r="K10" t="s">
        <v>33</v>
      </c>
      <c r="L10">
        <v>105</v>
      </c>
      <c r="M10">
        <v>140</v>
      </c>
      <c r="N10">
        <f t="shared" si="0"/>
        <v>35</v>
      </c>
    </row>
    <row r="11" spans="1:14" x14ac:dyDescent="0.3">
      <c r="A11" s="2">
        <v>42580</v>
      </c>
      <c r="B11" s="2" t="s">
        <v>34</v>
      </c>
      <c r="C11" s="2" t="s">
        <v>115</v>
      </c>
      <c r="D11" s="2" t="s">
        <v>21</v>
      </c>
      <c r="E11" s="2" t="s">
        <v>22</v>
      </c>
      <c r="F11" t="s">
        <v>23</v>
      </c>
      <c r="G11">
        <v>50</v>
      </c>
      <c r="H11" t="s">
        <v>24</v>
      </c>
      <c r="I11" t="s">
        <v>25</v>
      </c>
      <c r="J11" t="s">
        <v>31</v>
      </c>
      <c r="K11" t="s">
        <v>35</v>
      </c>
      <c r="L11">
        <v>263</v>
      </c>
      <c r="M11">
        <v>354</v>
      </c>
      <c r="N11">
        <f t="shared" si="0"/>
        <v>91</v>
      </c>
    </row>
    <row r="12" spans="1:14" x14ac:dyDescent="0.3">
      <c r="A12" s="2">
        <v>42610</v>
      </c>
      <c r="B12" s="2" t="s">
        <v>36</v>
      </c>
      <c r="C12" s="2" t="s">
        <v>110</v>
      </c>
      <c r="D12" s="2" t="s">
        <v>13</v>
      </c>
      <c r="E12" s="2" t="s">
        <v>14</v>
      </c>
      <c r="F12" t="s">
        <v>15</v>
      </c>
      <c r="G12">
        <v>21</v>
      </c>
      <c r="H12" t="s">
        <v>16</v>
      </c>
      <c r="I12" t="s">
        <v>17</v>
      </c>
      <c r="J12" t="s">
        <v>18</v>
      </c>
      <c r="K12" t="s">
        <v>37</v>
      </c>
      <c r="L12">
        <v>280</v>
      </c>
      <c r="M12">
        <v>360</v>
      </c>
      <c r="N12">
        <f t="shared" si="0"/>
        <v>80</v>
      </c>
    </row>
    <row r="13" spans="1:14" x14ac:dyDescent="0.3">
      <c r="A13" s="2">
        <v>42610</v>
      </c>
      <c r="B13" s="2" t="s">
        <v>36</v>
      </c>
      <c r="C13" s="2" t="s">
        <v>116</v>
      </c>
      <c r="D13" s="2" t="s">
        <v>94</v>
      </c>
      <c r="E13" s="2" t="s">
        <v>14</v>
      </c>
      <c r="F13" t="s">
        <v>15</v>
      </c>
      <c r="G13">
        <v>21</v>
      </c>
      <c r="H13" t="s">
        <v>16</v>
      </c>
      <c r="I13" t="s">
        <v>17</v>
      </c>
      <c r="J13" t="s">
        <v>18</v>
      </c>
      <c r="K13" t="s">
        <v>37</v>
      </c>
      <c r="L13">
        <v>280</v>
      </c>
      <c r="M13">
        <v>360</v>
      </c>
      <c r="N13">
        <f t="shared" si="0"/>
        <v>80</v>
      </c>
    </row>
    <row r="14" spans="1:14" x14ac:dyDescent="0.3">
      <c r="A14" s="2">
        <v>42625</v>
      </c>
      <c r="B14" s="2" t="s">
        <v>38</v>
      </c>
      <c r="C14" s="2" t="s">
        <v>117</v>
      </c>
      <c r="D14" s="2" t="s">
        <v>21</v>
      </c>
      <c r="E14" s="2" t="s">
        <v>22</v>
      </c>
      <c r="F14" t="s">
        <v>23</v>
      </c>
      <c r="G14">
        <v>41</v>
      </c>
      <c r="H14" t="s">
        <v>16</v>
      </c>
      <c r="I14" t="s">
        <v>17</v>
      </c>
      <c r="J14" t="s">
        <v>39</v>
      </c>
      <c r="K14" t="s">
        <v>37</v>
      </c>
      <c r="L14">
        <v>409</v>
      </c>
      <c r="M14">
        <v>441</v>
      </c>
      <c r="N14">
        <f t="shared" si="0"/>
        <v>32</v>
      </c>
    </row>
    <row r="15" spans="1:14" x14ac:dyDescent="0.3">
      <c r="A15" s="2">
        <v>42670</v>
      </c>
      <c r="B15" s="2" t="s">
        <v>40</v>
      </c>
      <c r="C15" s="2" t="s">
        <v>114</v>
      </c>
      <c r="D15" s="2" t="s">
        <v>13</v>
      </c>
      <c r="E15" s="2" t="s">
        <v>27</v>
      </c>
      <c r="F15" t="s">
        <v>23</v>
      </c>
      <c r="G15">
        <v>26</v>
      </c>
      <c r="H15" t="s">
        <v>24</v>
      </c>
      <c r="I15" t="s">
        <v>25</v>
      </c>
      <c r="J15" t="s">
        <v>18</v>
      </c>
      <c r="K15" t="s">
        <v>19</v>
      </c>
      <c r="L15">
        <v>354</v>
      </c>
      <c r="M15">
        <v>384</v>
      </c>
      <c r="N15">
        <f t="shared" si="0"/>
        <v>30</v>
      </c>
    </row>
    <row r="16" spans="1:14" x14ac:dyDescent="0.3">
      <c r="A16" s="2">
        <v>42670</v>
      </c>
      <c r="B16" s="2" t="s">
        <v>40</v>
      </c>
      <c r="C16" s="2" t="s">
        <v>118</v>
      </c>
      <c r="D16" s="2" t="s">
        <v>94</v>
      </c>
      <c r="E16" s="2" t="s">
        <v>27</v>
      </c>
      <c r="F16" t="s">
        <v>23</v>
      </c>
      <c r="G16">
        <v>26</v>
      </c>
      <c r="H16" t="s">
        <v>24</v>
      </c>
      <c r="I16" t="s">
        <v>25</v>
      </c>
      <c r="J16" t="s">
        <v>18</v>
      </c>
      <c r="K16" t="s">
        <v>19</v>
      </c>
      <c r="L16">
        <v>354</v>
      </c>
      <c r="M16">
        <v>384</v>
      </c>
      <c r="N16">
        <f t="shared" si="0"/>
        <v>30</v>
      </c>
    </row>
    <row r="17" spans="1:14" x14ac:dyDescent="0.3">
      <c r="A17" s="2">
        <v>42700</v>
      </c>
      <c r="B17" s="2" t="s">
        <v>41</v>
      </c>
      <c r="C17" s="2" t="s">
        <v>119</v>
      </c>
      <c r="D17" s="2" t="s">
        <v>13</v>
      </c>
      <c r="E17" s="2" t="s">
        <v>22</v>
      </c>
      <c r="F17" t="s">
        <v>15</v>
      </c>
      <c r="G17">
        <v>31</v>
      </c>
      <c r="H17" t="s">
        <v>16</v>
      </c>
      <c r="I17" t="s">
        <v>17</v>
      </c>
      <c r="J17" t="s">
        <v>18</v>
      </c>
      <c r="K17" t="s">
        <v>42</v>
      </c>
      <c r="L17">
        <v>107</v>
      </c>
      <c r="M17">
        <v>194</v>
      </c>
      <c r="N17">
        <f t="shared" si="0"/>
        <v>87</v>
      </c>
    </row>
    <row r="18" spans="1:14" x14ac:dyDescent="0.3">
      <c r="A18" s="2">
        <v>42700</v>
      </c>
      <c r="B18" s="2" t="s">
        <v>41</v>
      </c>
      <c r="C18" s="2" t="s">
        <v>108</v>
      </c>
      <c r="D18" s="2" t="s">
        <v>94</v>
      </c>
      <c r="E18" s="2" t="s">
        <v>22</v>
      </c>
      <c r="F18" t="s">
        <v>15</v>
      </c>
      <c r="G18">
        <v>31</v>
      </c>
      <c r="H18" t="s">
        <v>16</v>
      </c>
      <c r="I18" t="s">
        <v>17</v>
      </c>
      <c r="J18" t="s">
        <v>18</v>
      </c>
      <c r="K18" t="s">
        <v>42</v>
      </c>
      <c r="L18">
        <v>107</v>
      </c>
      <c r="M18">
        <v>194</v>
      </c>
      <c r="N18">
        <f t="shared" si="0"/>
        <v>87</v>
      </c>
    </row>
    <row r="19" spans="1:14" x14ac:dyDescent="0.3">
      <c r="A19" s="2">
        <v>42745</v>
      </c>
      <c r="B19" s="2" t="s">
        <v>43</v>
      </c>
      <c r="C19" s="2" t="s">
        <v>108</v>
      </c>
      <c r="D19" s="2" t="s">
        <v>13</v>
      </c>
      <c r="E19" s="2" t="s">
        <v>27</v>
      </c>
      <c r="F19" t="s">
        <v>15</v>
      </c>
      <c r="G19">
        <v>31</v>
      </c>
      <c r="H19" t="s">
        <v>44</v>
      </c>
      <c r="I19" t="s">
        <v>17</v>
      </c>
      <c r="J19" t="s">
        <v>31</v>
      </c>
      <c r="K19" t="s">
        <v>19</v>
      </c>
      <c r="L19">
        <v>165</v>
      </c>
      <c r="M19">
        <v>259</v>
      </c>
      <c r="N19">
        <f t="shared" si="0"/>
        <v>94</v>
      </c>
    </row>
    <row r="20" spans="1:14" x14ac:dyDescent="0.3">
      <c r="A20" s="2">
        <v>42745</v>
      </c>
      <c r="B20" s="2" t="s">
        <v>43</v>
      </c>
      <c r="C20" s="2" t="s">
        <v>107</v>
      </c>
      <c r="D20" s="2" t="s">
        <v>94</v>
      </c>
      <c r="E20" s="2" t="s">
        <v>27</v>
      </c>
      <c r="F20" t="s">
        <v>15</v>
      </c>
      <c r="G20">
        <v>31</v>
      </c>
      <c r="H20" t="s">
        <v>44</v>
      </c>
      <c r="I20" t="s">
        <v>17</v>
      </c>
      <c r="J20" t="s">
        <v>31</v>
      </c>
      <c r="K20" t="s">
        <v>19</v>
      </c>
      <c r="L20">
        <v>165</v>
      </c>
      <c r="M20">
        <v>259</v>
      </c>
      <c r="N20">
        <f t="shared" si="0"/>
        <v>94</v>
      </c>
    </row>
    <row r="21" spans="1:14" x14ac:dyDescent="0.3">
      <c r="A21" s="2">
        <v>42775</v>
      </c>
      <c r="B21" s="2" t="s">
        <v>45</v>
      </c>
      <c r="C21" s="2" t="s">
        <v>120</v>
      </c>
      <c r="D21" s="2" t="s">
        <v>21</v>
      </c>
      <c r="E21" s="2" t="s">
        <v>22</v>
      </c>
      <c r="F21" t="s">
        <v>23</v>
      </c>
      <c r="G21">
        <v>26</v>
      </c>
      <c r="H21" t="s">
        <v>24</v>
      </c>
      <c r="I21" t="s">
        <v>25</v>
      </c>
      <c r="J21" t="s">
        <v>18</v>
      </c>
      <c r="K21" t="s">
        <v>19</v>
      </c>
      <c r="L21">
        <v>290</v>
      </c>
      <c r="M21">
        <v>367</v>
      </c>
      <c r="N21">
        <f t="shared" si="0"/>
        <v>77</v>
      </c>
    </row>
    <row r="22" spans="1:14" x14ac:dyDescent="0.3">
      <c r="A22" s="2">
        <v>42865</v>
      </c>
      <c r="B22" s="2" t="s">
        <v>46</v>
      </c>
      <c r="C22" s="2" t="s">
        <v>107</v>
      </c>
      <c r="D22" s="2" t="s">
        <v>13</v>
      </c>
      <c r="E22" s="2" t="s">
        <v>14</v>
      </c>
      <c r="F22" t="s">
        <v>23</v>
      </c>
      <c r="G22">
        <v>41</v>
      </c>
      <c r="H22" t="s">
        <v>24</v>
      </c>
      <c r="I22" t="s">
        <v>25</v>
      </c>
      <c r="J22" t="s">
        <v>39</v>
      </c>
      <c r="K22" t="s">
        <v>47</v>
      </c>
      <c r="L22">
        <v>158</v>
      </c>
      <c r="M22">
        <v>256</v>
      </c>
      <c r="N22">
        <f t="shared" si="0"/>
        <v>98</v>
      </c>
    </row>
    <row r="23" spans="1:14" x14ac:dyDescent="0.3">
      <c r="A23" s="2">
        <v>42865</v>
      </c>
      <c r="B23" s="2" t="s">
        <v>46</v>
      </c>
      <c r="C23" s="2" t="s">
        <v>116</v>
      </c>
      <c r="D23" s="2" t="s">
        <v>94</v>
      </c>
      <c r="E23" s="2" t="s">
        <v>14</v>
      </c>
      <c r="F23" t="s">
        <v>23</v>
      </c>
      <c r="G23">
        <v>41</v>
      </c>
      <c r="H23" t="s">
        <v>24</v>
      </c>
      <c r="I23" t="s">
        <v>25</v>
      </c>
      <c r="J23" t="s">
        <v>39</v>
      </c>
      <c r="K23" t="s">
        <v>47</v>
      </c>
      <c r="L23">
        <v>158</v>
      </c>
      <c r="M23">
        <v>256</v>
      </c>
      <c r="N23">
        <f t="shared" si="0"/>
        <v>98</v>
      </c>
    </row>
    <row r="24" spans="1:14" x14ac:dyDescent="0.3">
      <c r="A24" s="2">
        <v>42880</v>
      </c>
      <c r="B24" s="2" t="s">
        <v>48</v>
      </c>
      <c r="C24" s="2" t="s">
        <v>110</v>
      </c>
      <c r="D24" s="2" t="s">
        <v>21</v>
      </c>
      <c r="E24" s="2" t="s">
        <v>22</v>
      </c>
      <c r="F24" t="s">
        <v>15</v>
      </c>
      <c r="G24">
        <v>31</v>
      </c>
      <c r="H24" t="s">
        <v>16</v>
      </c>
      <c r="I24" t="s">
        <v>17</v>
      </c>
      <c r="J24" t="s">
        <v>29</v>
      </c>
      <c r="K24" t="s">
        <v>37</v>
      </c>
      <c r="L24">
        <v>445</v>
      </c>
      <c r="M24">
        <v>478</v>
      </c>
      <c r="N24">
        <f t="shared" si="0"/>
        <v>33</v>
      </c>
    </row>
    <row r="25" spans="1:14" x14ac:dyDescent="0.3">
      <c r="A25" s="2">
        <v>42970</v>
      </c>
      <c r="B25" s="2" t="s">
        <v>49</v>
      </c>
      <c r="C25" s="2" t="s">
        <v>120</v>
      </c>
      <c r="D25" s="2" t="s">
        <v>13</v>
      </c>
      <c r="E25" s="2" t="s">
        <v>27</v>
      </c>
      <c r="F25" t="s">
        <v>23</v>
      </c>
      <c r="G25">
        <v>26</v>
      </c>
      <c r="H25" t="s">
        <v>24</v>
      </c>
      <c r="I25" t="s">
        <v>17</v>
      </c>
      <c r="J25" t="s">
        <v>18</v>
      </c>
      <c r="K25" t="s">
        <v>19</v>
      </c>
      <c r="L25">
        <v>242</v>
      </c>
      <c r="M25">
        <v>299</v>
      </c>
      <c r="N25">
        <f t="shared" si="0"/>
        <v>57</v>
      </c>
    </row>
    <row r="26" spans="1:14" x14ac:dyDescent="0.3">
      <c r="A26" s="2">
        <v>42970</v>
      </c>
      <c r="B26" s="2" t="s">
        <v>49</v>
      </c>
      <c r="C26" s="2" t="s">
        <v>121</v>
      </c>
      <c r="D26" s="2" t="s">
        <v>94</v>
      </c>
      <c r="E26" s="2" t="s">
        <v>27</v>
      </c>
      <c r="F26" t="s">
        <v>23</v>
      </c>
      <c r="G26">
        <v>26</v>
      </c>
      <c r="H26" t="s">
        <v>24</v>
      </c>
      <c r="I26" t="s">
        <v>17</v>
      </c>
      <c r="J26" t="s">
        <v>18</v>
      </c>
      <c r="K26" t="s">
        <v>19</v>
      </c>
      <c r="L26">
        <v>242</v>
      </c>
      <c r="M26">
        <v>299</v>
      </c>
      <c r="N26">
        <f t="shared" si="0"/>
        <v>57</v>
      </c>
    </row>
    <row r="27" spans="1:14" x14ac:dyDescent="0.3">
      <c r="A27" s="2">
        <v>43000</v>
      </c>
      <c r="B27" s="2" t="s">
        <v>50</v>
      </c>
      <c r="C27" s="2" t="s">
        <v>116</v>
      </c>
      <c r="D27" s="2" t="s">
        <v>13</v>
      </c>
      <c r="E27" s="2" t="s">
        <v>22</v>
      </c>
      <c r="F27" t="s">
        <v>15</v>
      </c>
      <c r="G27">
        <v>31</v>
      </c>
      <c r="H27" t="s">
        <v>24</v>
      </c>
      <c r="I27" t="s">
        <v>17</v>
      </c>
      <c r="J27" t="s">
        <v>39</v>
      </c>
      <c r="K27" t="s">
        <v>19</v>
      </c>
      <c r="L27">
        <v>292</v>
      </c>
      <c r="M27">
        <v>376</v>
      </c>
      <c r="N27">
        <f t="shared" si="0"/>
        <v>84</v>
      </c>
    </row>
    <row r="28" spans="1:14" x14ac:dyDescent="0.3">
      <c r="A28" s="2">
        <v>43000</v>
      </c>
      <c r="B28" s="2" t="s">
        <v>50</v>
      </c>
      <c r="C28" s="2" t="s">
        <v>121</v>
      </c>
      <c r="D28" s="2" t="s">
        <v>94</v>
      </c>
      <c r="E28" s="2" t="s">
        <v>22</v>
      </c>
      <c r="F28" t="s">
        <v>15</v>
      </c>
      <c r="G28">
        <v>31</v>
      </c>
      <c r="H28" t="s">
        <v>24</v>
      </c>
      <c r="I28" t="s">
        <v>17</v>
      </c>
      <c r="J28" t="s">
        <v>39</v>
      </c>
      <c r="K28" t="s">
        <v>19</v>
      </c>
      <c r="L28">
        <v>292</v>
      </c>
      <c r="M28">
        <v>376</v>
      </c>
      <c r="N28">
        <f t="shared" si="0"/>
        <v>84</v>
      </c>
    </row>
    <row r="29" spans="1:14" x14ac:dyDescent="0.3">
      <c r="A29" s="2">
        <v>43060</v>
      </c>
      <c r="B29" s="2" t="s">
        <v>51</v>
      </c>
      <c r="C29" s="2" t="s">
        <v>110</v>
      </c>
      <c r="D29" s="2" t="s">
        <v>13</v>
      </c>
      <c r="E29" s="2" t="s">
        <v>27</v>
      </c>
      <c r="F29" t="s">
        <v>15</v>
      </c>
      <c r="G29">
        <v>36</v>
      </c>
      <c r="H29" t="s">
        <v>28</v>
      </c>
      <c r="I29" t="s">
        <v>17</v>
      </c>
      <c r="J29" t="s">
        <v>29</v>
      </c>
      <c r="K29" t="s">
        <v>19</v>
      </c>
      <c r="L29">
        <v>477</v>
      </c>
      <c r="M29">
        <v>546</v>
      </c>
      <c r="N29">
        <f t="shared" si="0"/>
        <v>69</v>
      </c>
    </row>
    <row r="30" spans="1:14" x14ac:dyDescent="0.3">
      <c r="A30" s="2">
        <v>43060</v>
      </c>
      <c r="B30" s="2" t="s">
        <v>51</v>
      </c>
      <c r="C30" s="2" t="s">
        <v>111</v>
      </c>
      <c r="D30" s="2" t="s">
        <v>94</v>
      </c>
      <c r="E30" s="2" t="s">
        <v>27</v>
      </c>
      <c r="F30" t="s">
        <v>15</v>
      </c>
      <c r="G30">
        <v>36</v>
      </c>
      <c r="H30" t="s">
        <v>28</v>
      </c>
      <c r="I30" t="s">
        <v>17</v>
      </c>
      <c r="J30" t="s">
        <v>29</v>
      </c>
      <c r="K30" t="s">
        <v>19</v>
      </c>
      <c r="L30">
        <v>477</v>
      </c>
      <c r="M30">
        <v>546</v>
      </c>
      <c r="N30">
        <f t="shared" si="0"/>
        <v>69</v>
      </c>
    </row>
    <row r="31" spans="1:14" x14ac:dyDescent="0.3">
      <c r="A31" s="2">
        <v>43105</v>
      </c>
      <c r="B31" s="2" t="s">
        <v>52</v>
      </c>
      <c r="C31" s="2" t="s">
        <v>117</v>
      </c>
      <c r="D31" s="2" t="s">
        <v>21</v>
      </c>
      <c r="E31" s="2" t="s">
        <v>22</v>
      </c>
      <c r="F31" t="s">
        <v>15</v>
      </c>
      <c r="G31">
        <v>50</v>
      </c>
      <c r="H31" t="s">
        <v>16</v>
      </c>
      <c r="I31" t="s">
        <v>17</v>
      </c>
      <c r="J31" t="s">
        <v>31</v>
      </c>
      <c r="K31" t="s">
        <v>35</v>
      </c>
      <c r="L31">
        <v>446</v>
      </c>
      <c r="M31">
        <v>490</v>
      </c>
      <c r="N31">
        <f t="shared" si="0"/>
        <v>44</v>
      </c>
    </row>
    <row r="32" spans="1:14" x14ac:dyDescent="0.3">
      <c r="A32" s="2">
        <v>43165</v>
      </c>
      <c r="B32" s="2" t="s">
        <v>53</v>
      </c>
      <c r="C32" s="2" t="s">
        <v>116</v>
      </c>
      <c r="D32" s="2" t="s">
        <v>13</v>
      </c>
      <c r="E32" s="2" t="s">
        <v>14</v>
      </c>
      <c r="F32" t="s">
        <v>23</v>
      </c>
      <c r="G32">
        <v>41</v>
      </c>
      <c r="H32" t="s">
        <v>24</v>
      </c>
      <c r="I32" t="s">
        <v>25</v>
      </c>
      <c r="J32" t="s">
        <v>31</v>
      </c>
      <c r="K32" t="s">
        <v>35</v>
      </c>
      <c r="L32">
        <v>379</v>
      </c>
      <c r="M32">
        <v>468</v>
      </c>
      <c r="N32">
        <f t="shared" si="0"/>
        <v>89</v>
      </c>
    </row>
    <row r="33" spans="1:14" x14ac:dyDescent="0.3">
      <c r="A33" s="2">
        <v>43165</v>
      </c>
      <c r="B33" s="2" t="s">
        <v>53</v>
      </c>
      <c r="C33" s="2" t="s">
        <v>110</v>
      </c>
      <c r="D33" s="2" t="s">
        <v>94</v>
      </c>
      <c r="E33" s="2" t="s">
        <v>14</v>
      </c>
      <c r="F33" t="s">
        <v>23</v>
      </c>
      <c r="G33">
        <v>41</v>
      </c>
      <c r="H33" t="s">
        <v>24</v>
      </c>
      <c r="I33" t="s">
        <v>25</v>
      </c>
      <c r="J33" t="s">
        <v>31</v>
      </c>
      <c r="K33" t="s">
        <v>35</v>
      </c>
      <c r="L33">
        <v>379</v>
      </c>
      <c r="M33">
        <v>468</v>
      </c>
      <c r="N33">
        <f t="shared" si="0"/>
        <v>89</v>
      </c>
    </row>
    <row r="34" spans="1:14" x14ac:dyDescent="0.3">
      <c r="A34" s="2">
        <v>43195</v>
      </c>
      <c r="B34" s="2" t="s">
        <v>54</v>
      </c>
      <c r="C34" s="2" t="s">
        <v>119</v>
      </c>
      <c r="D34" s="2" t="s">
        <v>21</v>
      </c>
      <c r="E34" s="2" t="s">
        <v>22</v>
      </c>
      <c r="F34" t="s">
        <v>23</v>
      </c>
      <c r="G34">
        <v>26</v>
      </c>
      <c r="H34" t="s">
        <v>24</v>
      </c>
      <c r="I34" t="s">
        <v>17</v>
      </c>
      <c r="J34" t="s">
        <v>31</v>
      </c>
      <c r="K34" t="s">
        <v>42</v>
      </c>
      <c r="L34">
        <v>232</v>
      </c>
      <c r="M34">
        <v>310</v>
      </c>
      <c r="N34">
        <f t="shared" si="0"/>
        <v>78</v>
      </c>
    </row>
    <row r="35" spans="1:14" x14ac:dyDescent="0.3">
      <c r="A35" s="2">
        <v>43240</v>
      </c>
      <c r="B35" s="2" t="s">
        <v>55</v>
      </c>
      <c r="C35" s="2" t="s">
        <v>112</v>
      </c>
      <c r="D35" s="2" t="s">
        <v>13</v>
      </c>
      <c r="E35" s="2" t="s">
        <v>27</v>
      </c>
      <c r="F35" t="s">
        <v>23</v>
      </c>
      <c r="G35">
        <v>41</v>
      </c>
      <c r="H35" t="s">
        <v>24</v>
      </c>
      <c r="I35" t="s">
        <v>25</v>
      </c>
      <c r="J35" t="s">
        <v>31</v>
      </c>
      <c r="K35" t="s">
        <v>35</v>
      </c>
      <c r="L35">
        <v>239</v>
      </c>
      <c r="M35">
        <v>273</v>
      </c>
      <c r="N35">
        <f t="shared" si="0"/>
        <v>34</v>
      </c>
    </row>
    <row r="36" spans="1:14" x14ac:dyDescent="0.3">
      <c r="A36" s="2">
        <v>43240</v>
      </c>
      <c r="B36" s="2" t="s">
        <v>55</v>
      </c>
      <c r="C36" s="2" t="s">
        <v>115</v>
      </c>
      <c r="D36" s="2" t="s">
        <v>94</v>
      </c>
      <c r="E36" s="2" t="s">
        <v>27</v>
      </c>
      <c r="F36" t="s">
        <v>23</v>
      </c>
      <c r="G36">
        <v>41</v>
      </c>
      <c r="H36" t="s">
        <v>24</v>
      </c>
      <c r="I36" t="s">
        <v>25</v>
      </c>
      <c r="J36" t="s">
        <v>31</v>
      </c>
      <c r="K36" t="s">
        <v>35</v>
      </c>
      <c r="L36">
        <v>239</v>
      </c>
      <c r="M36">
        <v>273</v>
      </c>
      <c r="N36">
        <f t="shared" si="0"/>
        <v>34</v>
      </c>
    </row>
    <row r="37" spans="1:14" x14ac:dyDescent="0.3">
      <c r="A37" s="2">
        <v>43255</v>
      </c>
      <c r="B37" s="2" t="s">
        <v>56</v>
      </c>
      <c r="C37" s="2" t="s">
        <v>109</v>
      </c>
      <c r="D37" s="2" t="s">
        <v>13</v>
      </c>
      <c r="E37" s="2" t="s">
        <v>22</v>
      </c>
      <c r="F37" t="s">
        <v>15</v>
      </c>
      <c r="G37">
        <v>36</v>
      </c>
      <c r="H37" t="s">
        <v>24</v>
      </c>
      <c r="I37" t="s">
        <v>25</v>
      </c>
      <c r="J37" t="s">
        <v>31</v>
      </c>
      <c r="K37" t="s">
        <v>47</v>
      </c>
      <c r="L37">
        <v>325</v>
      </c>
      <c r="M37">
        <v>389</v>
      </c>
      <c r="N37">
        <f t="shared" si="0"/>
        <v>64</v>
      </c>
    </row>
    <row r="38" spans="1:14" x14ac:dyDescent="0.3">
      <c r="A38" s="2">
        <v>43255</v>
      </c>
      <c r="B38" s="2" t="s">
        <v>56</v>
      </c>
      <c r="C38" s="2" t="s">
        <v>111</v>
      </c>
      <c r="D38" s="2" t="s">
        <v>94</v>
      </c>
      <c r="E38" s="2" t="s">
        <v>22</v>
      </c>
      <c r="F38" t="s">
        <v>15</v>
      </c>
      <c r="G38">
        <v>36</v>
      </c>
      <c r="H38" t="s">
        <v>24</v>
      </c>
      <c r="I38" t="s">
        <v>25</v>
      </c>
      <c r="J38" t="s">
        <v>31</v>
      </c>
      <c r="K38" t="s">
        <v>47</v>
      </c>
      <c r="L38">
        <v>325</v>
      </c>
      <c r="M38">
        <v>389</v>
      </c>
      <c r="N38">
        <f t="shared" si="0"/>
        <v>64</v>
      </c>
    </row>
    <row r="39" spans="1:14" x14ac:dyDescent="0.3">
      <c r="A39" s="2">
        <v>43315</v>
      </c>
      <c r="B39" s="2" t="s">
        <v>57</v>
      </c>
      <c r="C39" s="2" t="s">
        <v>116</v>
      </c>
      <c r="D39" s="2" t="s">
        <v>13</v>
      </c>
      <c r="E39" s="2" t="s">
        <v>27</v>
      </c>
      <c r="F39" t="s">
        <v>23</v>
      </c>
      <c r="G39">
        <v>50</v>
      </c>
      <c r="H39" t="s">
        <v>24</v>
      </c>
      <c r="I39" t="s">
        <v>25</v>
      </c>
      <c r="J39" t="s">
        <v>39</v>
      </c>
      <c r="K39" t="s">
        <v>19</v>
      </c>
      <c r="L39">
        <v>437</v>
      </c>
      <c r="M39">
        <v>512</v>
      </c>
      <c r="N39">
        <f t="shared" si="0"/>
        <v>75</v>
      </c>
    </row>
    <row r="40" spans="1:14" x14ac:dyDescent="0.3">
      <c r="A40" s="2">
        <v>43315</v>
      </c>
      <c r="B40" s="2" t="s">
        <v>57</v>
      </c>
      <c r="C40" s="2" t="s">
        <v>117</v>
      </c>
      <c r="D40" s="2" t="s">
        <v>94</v>
      </c>
      <c r="E40" s="2" t="s">
        <v>27</v>
      </c>
      <c r="F40" t="s">
        <v>23</v>
      </c>
      <c r="G40">
        <v>50</v>
      </c>
      <c r="H40" t="s">
        <v>24</v>
      </c>
      <c r="I40" t="s">
        <v>25</v>
      </c>
      <c r="J40" t="s">
        <v>39</v>
      </c>
      <c r="K40" t="s">
        <v>19</v>
      </c>
      <c r="L40">
        <v>437</v>
      </c>
      <c r="M40">
        <v>512</v>
      </c>
      <c r="N40">
        <f t="shared" si="0"/>
        <v>75</v>
      </c>
    </row>
    <row r="41" spans="1:14" x14ac:dyDescent="0.3">
      <c r="A41" s="2">
        <v>43345</v>
      </c>
      <c r="B41" s="2" t="s">
        <v>58</v>
      </c>
      <c r="C41" s="2" t="s">
        <v>112</v>
      </c>
      <c r="D41" s="2" t="s">
        <v>21</v>
      </c>
      <c r="E41" s="2" t="s">
        <v>22</v>
      </c>
      <c r="F41" t="s">
        <v>23</v>
      </c>
      <c r="G41">
        <v>31</v>
      </c>
      <c r="H41" t="s">
        <v>24</v>
      </c>
      <c r="I41" t="s">
        <v>25</v>
      </c>
      <c r="J41" t="s">
        <v>31</v>
      </c>
      <c r="K41" t="s">
        <v>35</v>
      </c>
      <c r="L41">
        <v>228</v>
      </c>
      <c r="M41">
        <v>321</v>
      </c>
      <c r="N41">
        <f t="shared" si="0"/>
        <v>93</v>
      </c>
    </row>
    <row r="42" spans="1:14" x14ac:dyDescent="0.3">
      <c r="A42" s="2">
        <v>43375</v>
      </c>
      <c r="B42" s="2" t="s">
        <v>59</v>
      </c>
      <c r="C42" s="2" t="s">
        <v>121</v>
      </c>
      <c r="D42" s="2" t="s">
        <v>13</v>
      </c>
      <c r="E42" s="2" t="s">
        <v>14</v>
      </c>
      <c r="F42" t="s">
        <v>23</v>
      </c>
      <c r="G42">
        <v>36</v>
      </c>
      <c r="H42" t="s">
        <v>44</v>
      </c>
      <c r="I42" t="s">
        <v>25</v>
      </c>
      <c r="J42" t="s">
        <v>39</v>
      </c>
      <c r="K42" t="s">
        <v>60</v>
      </c>
      <c r="L42">
        <v>285</v>
      </c>
      <c r="M42">
        <v>366</v>
      </c>
      <c r="N42">
        <f t="shared" si="0"/>
        <v>81</v>
      </c>
    </row>
    <row r="43" spans="1:14" x14ac:dyDescent="0.3">
      <c r="A43" s="2">
        <v>43375</v>
      </c>
      <c r="B43" s="2" t="s">
        <v>59</v>
      </c>
      <c r="C43" s="2" t="s">
        <v>107</v>
      </c>
      <c r="D43" s="2" t="s">
        <v>94</v>
      </c>
      <c r="E43" s="2" t="s">
        <v>14</v>
      </c>
      <c r="F43" t="s">
        <v>23</v>
      </c>
      <c r="G43">
        <v>36</v>
      </c>
      <c r="H43" t="s">
        <v>44</v>
      </c>
      <c r="I43" t="s">
        <v>25</v>
      </c>
      <c r="J43" t="s">
        <v>39</v>
      </c>
      <c r="K43" t="s">
        <v>60</v>
      </c>
      <c r="L43">
        <v>285</v>
      </c>
      <c r="M43">
        <v>366</v>
      </c>
      <c r="N43">
        <f t="shared" si="0"/>
        <v>81</v>
      </c>
    </row>
    <row r="44" spans="1:14" x14ac:dyDescent="0.3">
      <c r="A44" s="2">
        <v>43480</v>
      </c>
      <c r="B44" s="2" t="s">
        <v>61</v>
      </c>
      <c r="C44" s="2" t="s">
        <v>111</v>
      </c>
      <c r="D44" s="2" t="s">
        <v>21</v>
      </c>
      <c r="E44" s="2" t="s">
        <v>22</v>
      </c>
      <c r="F44" t="s">
        <v>15</v>
      </c>
      <c r="G44">
        <v>36</v>
      </c>
      <c r="H44" t="s">
        <v>16</v>
      </c>
      <c r="I44" t="s">
        <v>25</v>
      </c>
      <c r="J44" t="s">
        <v>31</v>
      </c>
      <c r="K44" t="s">
        <v>35</v>
      </c>
      <c r="L44">
        <v>224</v>
      </c>
      <c r="M44">
        <v>297</v>
      </c>
      <c r="N44">
        <f t="shared" si="0"/>
        <v>73</v>
      </c>
    </row>
    <row r="45" spans="1:14" x14ac:dyDescent="0.3">
      <c r="A45" s="2">
        <v>43600</v>
      </c>
      <c r="B45" s="2" t="s">
        <v>62</v>
      </c>
      <c r="C45" s="2" t="s">
        <v>107</v>
      </c>
      <c r="D45" s="2" t="s">
        <v>13</v>
      </c>
      <c r="E45" s="2" t="s">
        <v>27</v>
      </c>
      <c r="F45" t="s">
        <v>15</v>
      </c>
      <c r="G45">
        <v>50</v>
      </c>
      <c r="H45" t="s">
        <v>24</v>
      </c>
      <c r="I45" t="s">
        <v>25</v>
      </c>
      <c r="J45" t="s">
        <v>39</v>
      </c>
      <c r="K45" t="s">
        <v>35</v>
      </c>
      <c r="L45">
        <v>201</v>
      </c>
      <c r="M45">
        <v>292</v>
      </c>
      <c r="N45">
        <f t="shared" si="0"/>
        <v>91</v>
      </c>
    </row>
    <row r="46" spans="1:14" x14ac:dyDescent="0.3">
      <c r="A46" s="2">
        <v>43600</v>
      </c>
      <c r="B46" s="2" t="s">
        <v>62</v>
      </c>
      <c r="C46" s="2" t="s">
        <v>108</v>
      </c>
      <c r="D46" s="2" t="s">
        <v>94</v>
      </c>
      <c r="E46" s="2" t="s">
        <v>27</v>
      </c>
      <c r="F46" t="s">
        <v>15</v>
      </c>
      <c r="G46">
        <v>50</v>
      </c>
      <c r="H46" t="s">
        <v>24</v>
      </c>
      <c r="I46" t="s">
        <v>25</v>
      </c>
      <c r="J46" t="s">
        <v>39</v>
      </c>
      <c r="K46" t="s">
        <v>35</v>
      </c>
      <c r="L46">
        <v>201</v>
      </c>
      <c r="M46">
        <v>292</v>
      </c>
      <c r="N46">
        <f t="shared" si="0"/>
        <v>91</v>
      </c>
    </row>
    <row r="47" spans="1:14" x14ac:dyDescent="0.3">
      <c r="A47" s="2">
        <v>43690</v>
      </c>
      <c r="B47" s="2" t="s">
        <v>63</v>
      </c>
      <c r="C47" s="2" t="s">
        <v>109</v>
      </c>
      <c r="D47" s="2" t="s">
        <v>13</v>
      </c>
      <c r="E47" s="2" t="s">
        <v>22</v>
      </c>
      <c r="F47" t="s">
        <v>23</v>
      </c>
      <c r="G47">
        <v>21</v>
      </c>
      <c r="H47" t="s">
        <v>44</v>
      </c>
      <c r="I47" t="s">
        <v>17</v>
      </c>
      <c r="J47" t="s">
        <v>18</v>
      </c>
      <c r="K47" t="s">
        <v>35</v>
      </c>
      <c r="L47">
        <v>196</v>
      </c>
      <c r="M47">
        <v>251</v>
      </c>
      <c r="N47">
        <f t="shared" si="0"/>
        <v>55</v>
      </c>
    </row>
    <row r="48" spans="1:14" x14ac:dyDescent="0.3">
      <c r="A48" s="2">
        <v>43690</v>
      </c>
      <c r="B48" s="2" t="s">
        <v>63</v>
      </c>
      <c r="C48" s="2" t="s">
        <v>108</v>
      </c>
      <c r="D48" s="2" t="s">
        <v>94</v>
      </c>
      <c r="E48" s="2" t="s">
        <v>22</v>
      </c>
      <c r="F48" t="s">
        <v>23</v>
      </c>
      <c r="G48">
        <v>21</v>
      </c>
      <c r="H48" t="s">
        <v>44</v>
      </c>
      <c r="I48" t="s">
        <v>17</v>
      </c>
      <c r="J48" t="s">
        <v>18</v>
      </c>
      <c r="K48" t="s">
        <v>35</v>
      </c>
      <c r="L48">
        <v>196</v>
      </c>
      <c r="M48">
        <v>251</v>
      </c>
      <c r="N48">
        <f t="shared" si="0"/>
        <v>55</v>
      </c>
    </row>
    <row r="49" spans="1:14" x14ac:dyDescent="0.3">
      <c r="A49" s="2">
        <v>43750</v>
      </c>
      <c r="B49" s="2" t="s">
        <v>64</v>
      </c>
      <c r="C49" s="2" t="s">
        <v>112</v>
      </c>
      <c r="D49" s="2" t="s">
        <v>13</v>
      </c>
      <c r="E49" s="2" t="s">
        <v>27</v>
      </c>
      <c r="F49" t="s">
        <v>15</v>
      </c>
      <c r="G49">
        <v>31</v>
      </c>
      <c r="H49" t="s">
        <v>24</v>
      </c>
      <c r="I49" t="s">
        <v>17</v>
      </c>
      <c r="J49" t="s">
        <v>39</v>
      </c>
      <c r="K49" t="s">
        <v>19</v>
      </c>
      <c r="L49">
        <v>196</v>
      </c>
      <c r="M49">
        <v>283</v>
      </c>
      <c r="N49">
        <f t="shared" si="0"/>
        <v>87</v>
      </c>
    </row>
    <row r="50" spans="1:14" x14ac:dyDescent="0.3">
      <c r="A50" s="2">
        <v>43750</v>
      </c>
      <c r="B50" s="2" t="s">
        <v>64</v>
      </c>
      <c r="C50" s="2" t="s">
        <v>111</v>
      </c>
      <c r="D50" s="2" t="s">
        <v>94</v>
      </c>
      <c r="E50" s="2" t="s">
        <v>27</v>
      </c>
      <c r="F50" t="s">
        <v>15</v>
      </c>
      <c r="G50">
        <v>31</v>
      </c>
      <c r="H50" t="s">
        <v>24</v>
      </c>
      <c r="I50" t="s">
        <v>17</v>
      </c>
      <c r="J50" t="s">
        <v>39</v>
      </c>
      <c r="K50" t="s">
        <v>19</v>
      </c>
      <c r="L50">
        <v>196</v>
      </c>
      <c r="M50">
        <v>283</v>
      </c>
      <c r="N50">
        <f t="shared" si="0"/>
        <v>87</v>
      </c>
    </row>
    <row r="51" spans="1:14" x14ac:dyDescent="0.3">
      <c r="A51" s="2">
        <v>43765</v>
      </c>
      <c r="B51" s="2" t="s">
        <v>65</v>
      </c>
      <c r="C51" s="2" t="s">
        <v>107</v>
      </c>
      <c r="D51" s="2" t="s">
        <v>21</v>
      </c>
      <c r="E51" s="2" t="s">
        <v>22</v>
      </c>
      <c r="F51" t="s">
        <v>15</v>
      </c>
      <c r="G51">
        <v>50</v>
      </c>
      <c r="H51" t="s">
        <v>24</v>
      </c>
      <c r="I51" t="s">
        <v>25</v>
      </c>
      <c r="J51" t="s">
        <v>18</v>
      </c>
      <c r="K51" t="s">
        <v>35</v>
      </c>
      <c r="L51">
        <v>287</v>
      </c>
      <c r="M51">
        <v>376</v>
      </c>
      <c r="N51">
        <f t="shared" si="0"/>
        <v>89</v>
      </c>
    </row>
    <row r="52" spans="1:14" x14ac:dyDescent="0.3">
      <c r="A52" s="2">
        <v>43795</v>
      </c>
      <c r="B52" s="2" t="s">
        <v>66</v>
      </c>
      <c r="C52" s="2" t="s">
        <v>116</v>
      </c>
      <c r="D52" s="2" t="s">
        <v>13</v>
      </c>
      <c r="E52" s="2" t="s">
        <v>14</v>
      </c>
      <c r="F52" t="s">
        <v>23</v>
      </c>
      <c r="G52">
        <v>21</v>
      </c>
      <c r="H52" t="s">
        <v>44</v>
      </c>
      <c r="I52" t="s">
        <v>17</v>
      </c>
      <c r="J52" t="s">
        <v>39</v>
      </c>
      <c r="K52" t="s">
        <v>35</v>
      </c>
      <c r="L52">
        <v>275</v>
      </c>
      <c r="M52">
        <v>346</v>
      </c>
      <c r="N52">
        <f t="shared" si="0"/>
        <v>71</v>
      </c>
    </row>
    <row r="53" spans="1:14" x14ac:dyDescent="0.3">
      <c r="A53" s="2">
        <v>43795</v>
      </c>
      <c r="B53" s="2" t="s">
        <v>66</v>
      </c>
      <c r="C53" s="2" t="s">
        <v>121</v>
      </c>
      <c r="D53" s="2" t="s">
        <v>94</v>
      </c>
      <c r="E53" s="2" t="s">
        <v>14</v>
      </c>
      <c r="F53" t="s">
        <v>23</v>
      </c>
      <c r="G53">
        <v>21</v>
      </c>
      <c r="H53" t="s">
        <v>44</v>
      </c>
      <c r="I53" t="s">
        <v>17</v>
      </c>
      <c r="J53" t="s">
        <v>39</v>
      </c>
      <c r="K53" t="s">
        <v>35</v>
      </c>
      <c r="L53">
        <v>275</v>
      </c>
      <c r="M53">
        <v>346</v>
      </c>
      <c r="N53">
        <f t="shared" si="0"/>
        <v>71</v>
      </c>
    </row>
    <row r="54" spans="1:14" x14ac:dyDescent="0.3">
      <c r="A54" s="2">
        <v>43840</v>
      </c>
      <c r="B54" s="2" t="s">
        <v>67</v>
      </c>
      <c r="C54" s="2" t="s">
        <v>118</v>
      </c>
      <c r="D54" s="2" t="s">
        <v>21</v>
      </c>
      <c r="E54" s="2" t="s">
        <v>22</v>
      </c>
      <c r="F54" t="s">
        <v>15</v>
      </c>
      <c r="G54">
        <v>31</v>
      </c>
      <c r="H54" t="s">
        <v>24</v>
      </c>
      <c r="I54" t="s">
        <v>25</v>
      </c>
      <c r="J54" t="s">
        <v>39</v>
      </c>
      <c r="K54" t="s">
        <v>37</v>
      </c>
      <c r="L54">
        <v>339</v>
      </c>
      <c r="M54">
        <v>402</v>
      </c>
      <c r="N54">
        <f t="shared" si="0"/>
        <v>63</v>
      </c>
    </row>
    <row r="55" spans="1:14" x14ac:dyDescent="0.3">
      <c r="A55" s="2">
        <v>43885</v>
      </c>
      <c r="B55" s="2" t="s">
        <v>68</v>
      </c>
      <c r="C55" s="2" t="s">
        <v>107</v>
      </c>
      <c r="D55" s="2" t="s">
        <v>13</v>
      </c>
      <c r="E55" s="2" t="s">
        <v>27</v>
      </c>
      <c r="F55" t="s">
        <v>23</v>
      </c>
      <c r="G55">
        <v>21</v>
      </c>
      <c r="H55" t="s">
        <v>16</v>
      </c>
      <c r="I55" t="s">
        <v>17</v>
      </c>
      <c r="J55" t="s">
        <v>18</v>
      </c>
      <c r="K55" t="s">
        <v>19</v>
      </c>
      <c r="L55">
        <v>442</v>
      </c>
      <c r="M55">
        <v>485</v>
      </c>
      <c r="N55">
        <f t="shared" si="0"/>
        <v>43</v>
      </c>
    </row>
    <row r="56" spans="1:14" x14ac:dyDescent="0.3">
      <c r="A56" s="2">
        <v>43885</v>
      </c>
      <c r="B56" s="2" t="s">
        <v>68</v>
      </c>
      <c r="C56" s="2" t="s">
        <v>108</v>
      </c>
      <c r="D56" s="2" t="s">
        <v>94</v>
      </c>
      <c r="E56" s="2" t="s">
        <v>27</v>
      </c>
      <c r="F56" t="s">
        <v>23</v>
      </c>
      <c r="G56">
        <v>21</v>
      </c>
      <c r="H56" t="s">
        <v>16</v>
      </c>
      <c r="I56" t="s">
        <v>17</v>
      </c>
      <c r="J56" t="s">
        <v>18</v>
      </c>
      <c r="K56" t="s">
        <v>19</v>
      </c>
      <c r="L56">
        <v>442</v>
      </c>
      <c r="M56">
        <v>485</v>
      </c>
      <c r="N56">
        <f t="shared" si="0"/>
        <v>43</v>
      </c>
    </row>
    <row r="57" spans="1:14" x14ac:dyDescent="0.3">
      <c r="A57" s="2">
        <v>43945</v>
      </c>
      <c r="B57" s="2" t="s">
        <v>69</v>
      </c>
      <c r="C57" s="2" t="s">
        <v>107</v>
      </c>
      <c r="D57" s="2" t="s">
        <v>13</v>
      </c>
      <c r="E57" s="2" t="s">
        <v>22</v>
      </c>
      <c r="F57" t="s">
        <v>15</v>
      </c>
      <c r="G57">
        <v>36</v>
      </c>
      <c r="H57" t="s">
        <v>24</v>
      </c>
      <c r="I57" t="s">
        <v>25</v>
      </c>
      <c r="J57" t="s">
        <v>18</v>
      </c>
      <c r="K57" t="s">
        <v>35</v>
      </c>
      <c r="L57">
        <v>171</v>
      </c>
      <c r="M57">
        <v>262</v>
      </c>
      <c r="N57">
        <f t="shared" si="0"/>
        <v>91</v>
      </c>
    </row>
    <row r="58" spans="1:14" x14ac:dyDescent="0.3">
      <c r="A58" s="2">
        <v>43945</v>
      </c>
      <c r="B58" s="2" t="s">
        <v>69</v>
      </c>
      <c r="C58" s="2" t="s">
        <v>109</v>
      </c>
      <c r="D58" s="2" t="s">
        <v>94</v>
      </c>
      <c r="E58" s="2" t="s">
        <v>22</v>
      </c>
      <c r="F58" t="s">
        <v>15</v>
      </c>
      <c r="G58">
        <v>36</v>
      </c>
      <c r="H58" t="s">
        <v>24</v>
      </c>
      <c r="I58" t="s">
        <v>25</v>
      </c>
      <c r="J58" t="s">
        <v>18</v>
      </c>
      <c r="K58" t="s">
        <v>35</v>
      </c>
      <c r="L58">
        <v>171</v>
      </c>
      <c r="M58">
        <v>262</v>
      </c>
      <c r="N58">
        <f t="shared" si="0"/>
        <v>91</v>
      </c>
    </row>
    <row r="59" spans="1:14" x14ac:dyDescent="0.3">
      <c r="A59" s="2">
        <v>43990</v>
      </c>
      <c r="B59" s="2" t="s">
        <v>70</v>
      </c>
      <c r="C59" s="2" t="s">
        <v>110</v>
      </c>
      <c r="D59" s="2" t="s">
        <v>13</v>
      </c>
      <c r="E59" s="2" t="s">
        <v>27</v>
      </c>
      <c r="F59" t="s">
        <v>23</v>
      </c>
      <c r="G59">
        <v>31</v>
      </c>
      <c r="H59" t="s">
        <v>24</v>
      </c>
      <c r="I59" t="s">
        <v>25</v>
      </c>
      <c r="J59" t="s">
        <v>18</v>
      </c>
      <c r="K59" t="s">
        <v>19</v>
      </c>
      <c r="L59">
        <v>479</v>
      </c>
      <c r="M59">
        <v>555</v>
      </c>
      <c r="N59">
        <f t="shared" si="0"/>
        <v>76</v>
      </c>
    </row>
    <row r="60" spans="1:14" x14ac:dyDescent="0.3">
      <c r="A60" s="2">
        <v>43990</v>
      </c>
      <c r="B60" s="2" t="s">
        <v>70</v>
      </c>
      <c r="C60" s="2" t="s">
        <v>111</v>
      </c>
      <c r="D60" s="2" t="s">
        <v>94</v>
      </c>
      <c r="E60" s="2" t="s">
        <v>27</v>
      </c>
      <c r="F60" t="s">
        <v>23</v>
      </c>
      <c r="G60">
        <v>31</v>
      </c>
      <c r="H60" t="s">
        <v>24</v>
      </c>
      <c r="I60" t="s">
        <v>25</v>
      </c>
      <c r="J60" t="s">
        <v>18</v>
      </c>
      <c r="K60" t="s">
        <v>19</v>
      </c>
      <c r="L60">
        <v>479</v>
      </c>
      <c r="M60">
        <v>555</v>
      </c>
      <c r="N60">
        <f t="shared" si="0"/>
        <v>76</v>
      </c>
    </row>
    <row r="61" spans="1:14" x14ac:dyDescent="0.3">
      <c r="A61" s="2">
        <v>44005</v>
      </c>
      <c r="B61" s="2" t="s">
        <v>71</v>
      </c>
      <c r="C61" s="2" t="s">
        <v>112</v>
      </c>
      <c r="D61" s="2" t="s">
        <v>21</v>
      </c>
      <c r="E61" s="2" t="s">
        <v>22</v>
      </c>
      <c r="F61" t="s">
        <v>23</v>
      </c>
      <c r="G61">
        <v>26</v>
      </c>
      <c r="H61" t="s">
        <v>24</v>
      </c>
      <c r="I61" t="s">
        <v>25</v>
      </c>
      <c r="J61" t="s">
        <v>18</v>
      </c>
      <c r="K61" t="s">
        <v>19</v>
      </c>
      <c r="L61">
        <v>171</v>
      </c>
      <c r="M61">
        <v>262</v>
      </c>
      <c r="N61">
        <f t="shared" si="0"/>
        <v>91</v>
      </c>
    </row>
    <row r="62" spans="1:14" x14ac:dyDescent="0.3">
      <c r="A62" s="2">
        <v>44020</v>
      </c>
      <c r="B62" s="2" t="s">
        <v>72</v>
      </c>
      <c r="C62" s="2" t="s">
        <v>113</v>
      </c>
      <c r="D62" s="2" t="s">
        <v>13</v>
      </c>
      <c r="E62" s="2" t="s">
        <v>14</v>
      </c>
      <c r="F62" t="s">
        <v>15</v>
      </c>
      <c r="G62">
        <v>41</v>
      </c>
      <c r="H62" t="s">
        <v>24</v>
      </c>
      <c r="I62" t="s">
        <v>25</v>
      </c>
      <c r="J62" t="s">
        <v>31</v>
      </c>
      <c r="K62" t="s">
        <v>19</v>
      </c>
      <c r="L62">
        <v>260</v>
      </c>
      <c r="M62">
        <v>340</v>
      </c>
      <c r="N62">
        <f t="shared" si="0"/>
        <v>80</v>
      </c>
    </row>
    <row r="63" spans="1:14" x14ac:dyDescent="0.3">
      <c r="A63" s="2">
        <v>44020</v>
      </c>
      <c r="B63" s="2" t="s">
        <v>72</v>
      </c>
      <c r="C63" s="2" t="s">
        <v>114</v>
      </c>
      <c r="D63" s="2" t="s">
        <v>94</v>
      </c>
      <c r="E63" s="2" t="s">
        <v>14</v>
      </c>
      <c r="F63" t="s">
        <v>15</v>
      </c>
      <c r="G63">
        <v>41</v>
      </c>
      <c r="H63" t="s">
        <v>24</v>
      </c>
      <c r="I63" t="s">
        <v>25</v>
      </c>
      <c r="J63" t="s">
        <v>31</v>
      </c>
      <c r="K63" t="s">
        <v>19</v>
      </c>
      <c r="L63">
        <v>260</v>
      </c>
      <c r="M63">
        <v>340</v>
      </c>
      <c r="N63">
        <f t="shared" si="0"/>
        <v>80</v>
      </c>
    </row>
    <row r="64" spans="1:14" x14ac:dyDescent="0.3">
      <c r="A64" s="2">
        <v>44065</v>
      </c>
      <c r="B64" s="2" t="s">
        <v>73</v>
      </c>
      <c r="C64" s="2" t="s">
        <v>115</v>
      </c>
      <c r="D64" s="2" t="s">
        <v>21</v>
      </c>
      <c r="E64" s="2" t="s">
        <v>22</v>
      </c>
      <c r="F64" t="s">
        <v>15</v>
      </c>
      <c r="G64">
        <v>31</v>
      </c>
      <c r="H64" t="s">
        <v>28</v>
      </c>
      <c r="I64" t="s">
        <v>25</v>
      </c>
      <c r="J64" t="s">
        <v>74</v>
      </c>
      <c r="K64" t="s">
        <v>47</v>
      </c>
      <c r="L64">
        <v>107</v>
      </c>
      <c r="M64">
        <v>162</v>
      </c>
      <c r="N64">
        <f t="shared" si="0"/>
        <v>55</v>
      </c>
    </row>
    <row r="65" spans="1:14" x14ac:dyDescent="0.3">
      <c r="A65" s="2">
        <v>44080</v>
      </c>
      <c r="B65" s="2" t="s">
        <v>75</v>
      </c>
      <c r="C65" s="2" t="s">
        <v>110</v>
      </c>
      <c r="D65" s="2" t="s">
        <v>13</v>
      </c>
      <c r="E65" s="2" t="s">
        <v>27</v>
      </c>
      <c r="F65" t="s">
        <v>23</v>
      </c>
      <c r="G65">
        <v>36</v>
      </c>
      <c r="H65" t="s">
        <v>44</v>
      </c>
      <c r="I65" t="s">
        <v>25</v>
      </c>
      <c r="J65" t="s">
        <v>39</v>
      </c>
      <c r="K65" t="s">
        <v>60</v>
      </c>
      <c r="L65">
        <v>262</v>
      </c>
      <c r="M65">
        <v>325</v>
      </c>
      <c r="N65">
        <f t="shared" si="0"/>
        <v>63</v>
      </c>
    </row>
    <row r="66" spans="1:14" x14ac:dyDescent="0.3">
      <c r="A66" s="2">
        <v>44080</v>
      </c>
      <c r="B66" s="2" t="s">
        <v>75</v>
      </c>
      <c r="C66" s="2" t="s">
        <v>116</v>
      </c>
      <c r="D66" s="2" t="s">
        <v>94</v>
      </c>
      <c r="E66" s="2" t="s">
        <v>27</v>
      </c>
      <c r="F66" t="s">
        <v>23</v>
      </c>
      <c r="G66">
        <v>36</v>
      </c>
      <c r="H66" t="s">
        <v>44</v>
      </c>
      <c r="I66" t="s">
        <v>25</v>
      </c>
      <c r="J66" t="s">
        <v>39</v>
      </c>
      <c r="K66" t="s">
        <v>60</v>
      </c>
      <c r="L66">
        <v>262</v>
      </c>
      <c r="M66">
        <v>325</v>
      </c>
      <c r="N66">
        <f t="shared" si="0"/>
        <v>63</v>
      </c>
    </row>
    <row r="67" spans="1:14" x14ac:dyDescent="0.3">
      <c r="A67" s="2">
        <v>44095</v>
      </c>
      <c r="B67" s="2" t="s">
        <v>76</v>
      </c>
      <c r="C67" s="2" t="s">
        <v>117</v>
      </c>
      <c r="D67" s="2" t="s">
        <v>13</v>
      </c>
      <c r="E67" s="2" t="s">
        <v>22</v>
      </c>
      <c r="F67" t="s">
        <v>15</v>
      </c>
      <c r="G67">
        <v>31</v>
      </c>
      <c r="H67" t="s">
        <v>24</v>
      </c>
      <c r="I67" t="s">
        <v>25</v>
      </c>
      <c r="J67" t="s">
        <v>39</v>
      </c>
      <c r="K67" t="s">
        <v>37</v>
      </c>
      <c r="L67">
        <v>411</v>
      </c>
      <c r="M67">
        <v>491</v>
      </c>
      <c r="N67">
        <f t="shared" ref="N67:N90" si="1">M67-L67</f>
        <v>80</v>
      </c>
    </row>
    <row r="68" spans="1:14" x14ac:dyDescent="0.3">
      <c r="A68" s="2">
        <v>44095</v>
      </c>
      <c r="B68" s="2" t="s">
        <v>76</v>
      </c>
      <c r="C68" s="2" t="s">
        <v>114</v>
      </c>
      <c r="D68" s="2" t="s">
        <v>94</v>
      </c>
      <c r="E68" s="2" t="s">
        <v>22</v>
      </c>
      <c r="F68" t="s">
        <v>15</v>
      </c>
      <c r="G68">
        <v>31</v>
      </c>
      <c r="H68" t="s">
        <v>24</v>
      </c>
      <c r="I68" t="s">
        <v>25</v>
      </c>
      <c r="J68" t="s">
        <v>39</v>
      </c>
      <c r="K68" t="s">
        <v>37</v>
      </c>
      <c r="L68">
        <v>411</v>
      </c>
      <c r="M68">
        <v>491</v>
      </c>
      <c r="N68">
        <f t="shared" si="1"/>
        <v>80</v>
      </c>
    </row>
    <row r="69" spans="1:14" x14ac:dyDescent="0.3">
      <c r="A69" s="2">
        <v>44125</v>
      </c>
      <c r="B69" s="2" t="s">
        <v>77</v>
      </c>
      <c r="C69" s="2" t="s">
        <v>118</v>
      </c>
      <c r="D69" s="2" t="s">
        <v>13</v>
      </c>
      <c r="E69" s="2" t="s">
        <v>27</v>
      </c>
      <c r="F69" t="s">
        <v>15</v>
      </c>
      <c r="G69">
        <v>26</v>
      </c>
      <c r="H69" t="s">
        <v>16</v>
      </c>
      <c r="I69" t="s">
        <v>17</v>
      </c>
      <c r="J69" t="s">
        <v>18</v>
      </c>
      <c r="K69" t="s">
        <v>35</v>
      </c>
      <c r="L69">
        <v>176</v>
      </c>
      <c r="M69">
        <v>261</v>
      </c>
      <c r="N69">
        <f t="shared" si="1"/>
        <v>85</v>
      </c>
    </row>
    <row r="70" spans="1:14" x14ac:dyDescent="0.3">
      <c r="A70" s="2">
        <v>44125</v>
      </c>
      <c r="B70" s="2" t="s">
        <v>77</v>
      </c>
      <c r="C70" s="2" t="s">
        <v>119</v>
      </c>
      <c r="D70" s="2" t="s">
        <v>94</v>
      </c>
      <c r="E70" s="2" t="s">
        <v>27</v>
      </c>
      <c r="F70" t="s">
        <v>15</v>
      </c>
      <c r="G70">
        <v>26</v>
      </c>
      <c r="H70" t="s">
        <v>16</v>
      </c>
      <c r="I70" t="s">
        <v>17</v>
      </c>
      <c r="J70" t="s">
        <v>18</v>
      </c>
      <c r="K70" t="s">
        <v>35</v>
      </c>
      <c r="L70">
        <v>176</v>
      </c>
      <c r="M70">
        <v>261</v>
      </c>
      <c r="N70">
        <f t="shared" si="1"/>
        <v>85</v>
      </c>
    </row>
    <row r="71" spans="1:14" x14ac:dyDescent="0.3">
      <c r="A71" s="2">
        <v>44140</v>
      </c>
      <c r="B71" s="2" t="s">
        <v>78</v>
      </c>
      <c r="C71" s="2" t="s">
        <v>108</v>
      </c>
      <c r="D71" s="2" t="s">
        <v>21</v>
      </c>
      <c r="E71" s="2" t="s">
        <v>22</v>
      </c>
      <c r="F71" t="s">
        <v>15</v>
      </c>
      <c r="G71">
        <v>50</v>
      </c>
      <c r="H71" t="s">
        <v>16</v>
      </c>
      <c r="I71" t="s">
        <v>17</v>
      </c>
      <c r="J71" t="s">
        <v>31</v>
      </c>
      <c r="K71" t="s">
        <v>35</v>
      </c>
      <c r="L71">
        <v>423</v>
      </c>
      <c r="M71">
        <v>512</v>
      </c>
      <c r="N71">
        <f t="shared" si="1"/>
        <v>89</v>
      </c>
    </row>
    <row r="72" spans="1:14" x14ac:dyDescent="0.3">
      <c r="A72" s="2">
        <v>44155</v>
      </c>
      <c r="B72" s="2" t="s">
        <v>79</v>
      </c>
      <c r="C72" s="2" t="s">
        <v>108</v>
      </c>
      <c r="D72" s="2" t="s">
        <v>13</v>
      </c>
      <c r="E72" s="2" t="s">
        <v>14</v>
      </c>
      <c r="F72" t="s">
        <v>23</v>
      </c>
      <c r="G72">
        <v>21</v>
      </c>
      <c r="H72" t="s">
        <v>44</v>
      </c>
      <c r="I72" t="s">
        <v>17</v>
      </c>
      <c r="J72" t="s">
        <v>18</v>
      </c>
      <c r="K72" t="s">
        <v>47</v>
      </c>
      <c r="L72">
        <v>395</v>
      </c>
      <c r="M72">
        <v>483</v>
      </c>
      <c r="N72">
        <f t="shared" si="1"/>
        <v>88</v>
      </c>
    </row>
    <row r="73" spans="1:14" x14ac:dyDescent="0.3">
      <c r="A73" s="2">
        <v>44155</v>
      </c>
      <c r="B73" s="2" t="s">
        <v>79</v>
      </c>
      <c r="C73" s="2" t="s">
        <v>107</v>
      </c>
      <c r="D73" s="2" t="s">
        <v>94</v>
      </c>
      <c r="E73" s="2" t="s">
        <v>14</v>
      </c>
      <c r="F73" t="s">
        <v>23</v>
      </c>
      <c r="G73">
        <v>21</v>
      </c>
      <c r="H73" t="s">
        <v>44</v>
      </c>
      <c r="I73" t="s">
        <v>17</v>
      </c>
      <c r="J73" t="s">
        <v>18</v>
      </c>
      <c r="K73" t="s">
        <v>47</v>
      </c>
      <c r="L73">
        <v>395</v>
      </c>
      <c r="M73">
        <v>483</v>
      </c>
      <c r="N73">
        <f t="shared" si="1"/>
        <v>88</v>
      </c>
    </row>
    <row r="74" spans="1:14" x14ac:dyDescent="0.3">
      <c r="A74" s="2">
        <v>44170</v>
      </c>
      <c r="B74" s="2" t="s">
        <v>80</v>
      </c>
      <c r="C74" s="2" t="s">
        <v>120</v>
      </c>
      <c r="D74" s="2" t="s">
        <v>21</v>
      </c>
      <c r="E74" s="2" t="s">
        <v>22</v>
      </c>
      <c r="F74" t="s">
        <v>15</v>
      </c>
      <c r="G74">
        <v>41</v>
      </c>
      <c r="H74" t="s">
        <v>24</v>
      </c>
      <c r="I74" t="s">
        <v>25</v>
      </c>
      <c r="J74" t="s">
        <v>39</v>
      </c>
      <c r="K74" t="s">
        <v>35</v>
      </c>
      <c r="L74">
        <v>360</v>
      </c>
      <c r="M74">
        <v>433</v>
      </c>
      <c r="N74">
        <f t="shared" si="1"/>
        <v>73</v>
      </c>
    </row>
    <row r="75" spans="1:14" x14ac:dyDescent="0.3">
      <c r="A75" s="2">
        <v>44185</v>
      </c>
      <c r="B75" s="2" t="s">
        <v>81</v>
      </c>
      <c r="C75" s="2" t="s">
        <v>107</v>
      </c>
      <c r="D75" s="2" t="s">
        <v>13</v>
      </c>
      <c r="E75" s="2" t="s">
        <v>27</v>
      </c>
      <c r="F75" t="s">
        <v>23</v>
      </c>
      <c r="G75">
        <v>21</v>
      </c>
      <c r="H75" t="s">
        <v>44</v>
      </c>
      <c r="I75" t="s">
        <v>17</v>
      </c>
      <c r="J75" t="s">
        <v>39</v>
      </c>
      <c r="K75" t="s">
        <v>35</v>
      </c>
      <c r="L75">
        <v>118</v>
      </c>
      <c r="M75">
        <v>192</v>
      </c>
      <c r="N75">
        <f t="shared" si="1"/>
        <v>74</v>
      </c>
    </row>
    <row r="76" spans="1:14" x14ac:dyDescent="0.3">
      <c r="A76" s="2">
        <v>44185</v>
      </c>
      <c r="B76" s="2" t="s">
        <v>81</v>
      </c>
      <c r="C76" s="2" t="s">
        <v>116</v>
      </c>
      <c r="D76" s="2" t="s">
        <v>94</v>
      </c>
      <c r="E76" s="2" t="s">
        <v>27</v>
      </c>
      <c r="F76" t="s">
        <v>23</v>
      </c>
      <c r="G76">
        <v>21</v>
      </c>
      <c r="H76" t="s">
        <v>44</v>
      </c>
      <c r="I76" t="s">
        <v>17</v>
      </c>
      <c r="J76" t="s">
        <v>39</v>
      </c>
      <c r="K76" t="s">
        <v>35</v>
      </c>
      <c r="L76">
        <v>118</v>
      </c>
      <c r="M76">
        <v>192</v>
      </c>
      <c r="N76">
        <f t="shared" si="1"/>
        <v>74</v>
      </c>
    </row>
    <row r="77" spans="1:14" x14ac:dyDescent="0.3">
      <c r="A77" s="2">
        <v>44200</v>
      </c>
      <c r="B77" s="2" t="s">
        <v>82</v>
      </c>
      <c r="C77" s="2" t="s">
        <v>110</v>
      </c>
      <c r="D77" s="2" t="s">
        <v>13</v>
      </c>
      <c r="E77" s="2" t="s">
        <v>22</v>
      </c>
      <c r="F77" t="s">
        <v>23</v>
      </c>
      <c r="G77">
        <v>36</v>
      </c>
      <c r="H77" t="s">
        <v>24</v>
      </c>
      <c r="I77" t="s">
        <v>17</v>
      </c>
      <c r="J77" t="s">
        <v>18</v>
      </c>
      <c r="K77" t="s">
        <v>37</v>
      </c>
      <c r="L77">
        <v>204</v>
      </c>
      <c r="M77">
        <v>252</v>
      </c>
      <c r="N77">
        <f t="shared" si="1"/>
        <v>48</v>
      </c>
    </row>
    <row r="78" spans="1:14" x14ac:dyDescent="0.3">
      <c r="A78" s="2">
        <v>44200</v>
      </c>
      <c r="B78" s="2" t="s">
        <v>82</v>
      </c>
      <c r="C78" s="2" t="s">
        <v>120</v>
      </c>
      <c r="D78" s="2" t="s">
        <v>94</v>
      </c>
      <c r="E78" s="2" t="s">
        <v>22</v>
      </c>
      <c r="F78" t="s">
        <v>23</v>
      </c>
      <c r="G78">
        <v>36</v>
      </c>
      <c r="H78" t="s">
        <v>24</v>
      </c>
      <c r="I78" t="s">
        <v>17</v>
      </c>
      <c r="J78" t="s">
        <v>18</v>
      </c>
      <c r="K78" t="s">
        <v>37</v>
      </c>
      <c r="L78">
        <v>204</v>
      </c>
      <c r="M78">
        <v>252</v>
      </c>
      <c r="N78">
        <f t="shared" si="1"/>
        <v>48</v>
      </c>
    </row>
    <row r="79" spans="1:14" x14ac:dyDescent="0.3">
      <c r="A79" s="2">
        <v>44215</v>
      </c>
      <c r="B79" s="2" t="s">
        <v>83</v>
      </c>
      <c r="C79" s="2" t="s">
        <v>121</v>
      </c>
      <c r="D79" s="2" t="s">
        <v>13</v>
      </c>
      <c r="E79" s="2" t="s">
        <v>27</v>
      </c>
      <c r="F79" t="s">
        <v>15</v>
      </c>
      <c r="G79">
        <v>41</v>
      </c>
      <c r="H79" t="s">
        <v>24</v>
      </c>
      <c r="I79" t="s">
        <v>25</v>
      </c>
      <c r="J79" t="s">
        <v>18</v>
      </c>
      <c r="K79" t="s">
        <v>35</v>
      </c>
      <c r="L79">
        <v>161</v>
      </c>
      <c r="M79">
        <v>242</v>
      </c>
      <c r="N79">
        <f t="shared" si="1"/>
        <v>81</v>
      </c>
    </row>
    <row r="80" spans="1:14" x14ac:dyDescent="0.3">
      <c r="A80" s="2">
        <v>44215</v>
      </c>
      <c r="B80" s="2" t="s">
        <v>83</v>
      </c>
      <c r="C80" s="2" t="s">
        <v>116</v>
      </c>
      <c r="D80" s="2" t="s">
        <v>94</v>
      </c>
      <c r="E80" s="2" t="s">
        <v>27</v>
      </c>
      <c r="F80" t="s">
        <v>15</v>
      </c>
      <c r="G80">
        <v>41</v>
      </c>
      <c r="H80" t="s">
        <v>24</v>
      </c>
      <c r="I80" t="s">
        <v>25</v>
      </c>
      <c r="J80" t="s">
        <v>18</v>
      </c>
      <c r="K80" t="s">
        <v>35</v>
      </c>
      <c r="L80">
        <v>161</v>
      </c>
      <c r="M80">
        <v>242</v>
      </c>
      <c r="N80">
        <f t="shared" si="1"/>
        <v>81</v>
      </c>
    </row>
    <row r="81" spans="1:14" x14ac:dyDescent="0.3">
      <c r="A81" s="2">
        <v>44230</v>
      </c>
      <c r="B81" s="2" t="s">
        <v>84</v>
      </c>
      <c r="C81" s="2" t="s">
        <v>121</v>
      </c>
      <c r="D81" s="2" t="s">
        <v>21</v>
      </c>
      <c r="E81" s="2" t="s">
        <v>22</v>
      </c>
      <c r="F81" t="s">
        <v>23</v>
      </c>
      <c r="G81">
        <v>41</v>
      </c>
      <c r="H81" t="s">
        <v>24</v>
      </c>
      <c r="I81" t="s">
        <v>25</v>
      </c>
      <c r="J81" t="s">
        <v>39</v>
      </c>
      <c r="K81" t="s">
        <v>47</v>
      </c>
      <c r="L81">
        <v>302</v>
      </c>
      <c r="M81">
        <v>332</v>
      </c>
      <c r="N81">
        <f t="shared" si="1"/>
        <v>30</v>
      </c>
    </row>
    <row r="82" spans="1:14" x14ac:dyDescent="0.3">
      <c r="A82" s="2">
        <v>44275</v>
      </c>
      <c r="B82" s="2" t="s">
        <v>85</v>
      </c>
      <c r="C82" s="2" t="s">
        <v>110</v>
      </c>
      <c r="D82" s="2" t="s">
        <v>13</v>
      </c>
      <c r="E82" s="2" t="s">
        <v>14</v>
      </c>
      <c r="F82" t="s">
        <v>15</v>
      </c>
      <c r="G82">
        <v>41</v>
      </c>
      <c r="H82" t="s">
        <v>28</v>
      </c>
      <c r="I82" t="s">
        <v>25</v>
      </c>
      <c r="J82" t="s">
        <v>18</v>
      </c>
      <c r="K82" t="s">
        <v>37</v>
      </c>
      <c r="L82">
        <v>386</v>
      </c>
      <c r="M82">
        <v>417</v>
      </c>
      <c r="N82">
        <f t="shared" si="1"/>
        <v>31</v>
      </c>
    </row>
    <row r="83" spans="1:14" x14ac:dyDescent="0.3">
      <c r="A83" s="2">
        <v>44275</v>
      </c>
      <c r="B83" s="2" t="s">
        <v>85</v>
      </c>
      <c r="C83" s="2" t="s">
        <v>111</v>
      </c>
      <c r="D83" s="2" t="s">
        <v>94</v>
      </c>
      <c r="E83" s="2" t="s">
        <v>14</v>
      </c>
      <c r="F83" t="s">
        <v>15</v>
      </c>
      <c r="G83">
        <v>41</v>
      </c>
      <c r="H83" t="s">
        <v>28</v>
      </c>
      <c r="I83" t="s">
        <v>25</v>
      </c>
      <c r="J83" t="s">
        <v>18</v>
      </c>
      <c r="K83" t="s">
        <v>37</v>
      </c>
      <c r="L83">
        <v>386</v>
      </c>
      <c r="M83">
        <v>417</v>
      </c>
      <c r="N83">
        <f t="shared" si="1"/>
        <v>31</v>
      </c>
    </row>
    <row r="84" spans="1:14" x14ac:dyDescent="0.3">
      <c r="A84" s="2">
        <v>44305</v>
      </c>
      <c r="B84" s="2" t="s">
        <v>86</v>
      </c>
      <c r="C84" s="2" t="s">
        <v>117</v>
      </c>
      <c r="D84" s="2" t="s">
        <v>21</v>
      </c>
      <c r="E84" s="2" t="s">
        <v>22</v>
      </c>
      <c r="F84" t="s">
        <v>15</v>
      </c>
      <c r="G84">
        <v>50</v>
      </c>
      <c r="H84" t="s">
        <v>16</v>
      </c>
      <c r="I84" t="s">
        <v>17</v>
      </c>
      <c r="J84" t="s">
        <v>31</v>
      </c>
      <c r="K84" t="s">
        <v>37</v>
      </c>
      <c r="L84">
        <v>465</v>
      </c>
      <c r="M84">
        <v>549</v>
      </c>
      <c r="N84">
        <f t="shared" si="1"/>
        <v>84</v>
      </c>
    </row>
    <row r="85" spans="1:14" x14ac:dyDescent="0.3">
      <c r="A85" s="2">
        <v>44350</v>
      </c>
      <c r="B85" s="2" t="s">
        <v>87</v>
      </c>
      <c r="C85" s="2" t="s">
        <v>116</v>
      </c>
      <c r="D85" s="2" t="s">
        <v>13</v>
      </c>
      <c r="E85" s="2" t="s">
        <v>27</v>
      </c>
      <c r="F85" t="s">
        <v>15</v>
      </c>
      <c r="G85">
        <v>26</v>
      </c>
      <c r="H85" t="s">
        <v>16</v>
      </c>
      <c r="I85" t="s">
        <v>17</v>
      </c>
      <c r="J85" t="s">
        <v>18</v>
      </c>
      <c r="K85" t="s">
        <v>19</v>
      </c>
      <c r="L85">
        <v>405</v>
      </c>
      <c r="M85">
        <v>496</v>
      </c>
      <c r="N85">
        <f t="shared" si="1"/>
        <v>91</v>
      </c>
    </row>
    <row r="86" spans="1:14" x14ac:dyDescent="0.3">
      <c r="A86" s="2">
        <v>44350</v>
      </c>
      <c r="B86" s="2" t="s">
        <v>87</v>
      </c>
      <c r="C86" s="2" t="s">
        <v>110</v>
      </c>
      <c r="D86" s="2" t="s">
        <v>94</v>
      </c>
      <c r="E86" s="2" t="s">
        <v>27</v>
      </c>
      <c r="F86" t="s">
        <v>15</v>
      </c>
      <c r="G86">
        <v>26</v>
      </c>
      <c r="H86" t="s">
        <v>16</v>
      </c>
      <c r="I86" t="s">
        <v>17</v>
      </c>
      <c r="J86" t="s">
        <v>18</v>
      </c>
      <c r="K86" t="s">
        <v>19</v>
      </c>
      <c r="L86">
        <v>405</v>
      </c>
      <c r="M86">
        <v>496</v>
      </c>
      <c r="N86">
        <f t="shared" si="1"/>
        <v>91</v>
      </c>
    </row>
    <row r="87" spans="1:14" x14ac:dyDescent="0.3">
      <c r="A87" s="2">
        <v>44380</v>
      </c>
      <c r="B87" s="2" t="s">
        <v>88</v>
      </c>
      <c r="C87" s="2" t="s">
        <v>119</v>
      </c>
      <c r="D87" s="2" t="s">
        <v>13</v>
      </c>
      <c r="E87" s="2" t="s">
        <v>22</v>
      </c>
      <c r="F87" t="s">
        <v>15</v>
      </c>
      <c r="G87">
        <v>31</v>
      </c>
      <c r="H87" t="s">
        <v>16</v>
      </c>
      <c r="I87" t="s">
        <v>17</v>
      </c>
      <c r="J87" t="s">
        <v>29</v>
      </c>
      <c r="K87" t="s">
        <v>37</v>
      </c>
      <c r="L87">
        <v>142</v>
      </c>
      <c r="M87">
        <v>201</v>
      </c>
      <c r="N87">
        <f t="shared" si="1"/>
        <v>59</v>
      </c>
    </row>
    <row r="88" spans="1:14" x14ac:dyDescent="0.3">
      <c r="A88" s="2">
        <v>44380</v>
      </c>
      <c r="B88" s="2" t="s">
        <v>88</v>
      </c>
      <c r="C88" s="2" t="s">
        <v>112</v>
      </c>
      <c r="D88" s="2" t="s">
        <v>94</v>
      </c>
      <c r="E88" s="2" t="s">
        <v>22</v>
      </c>
      <c r="F88" t="s">
        <v>15</v>
      </c>
      <c r="G88">
        <v>31</v>
      </c>
      <c r="H88" t="s">
        <v>16</v>
      </c>
      <c r="I88" t="s">
        <v>17</v>
      </c>
      <c r="J88" t="s">
        <v>29</v>
      </c>
      <c r="K88" t="s">
        <v>37</v>
      </c>
      <c r="L88">
        <v>142</v>
      </c>
      <c r="M88">
        <v>201</v>
      </c>
      <c r="N88">
        <f t="shared" si="1"/>
        <v>59</v>
      </c>
    </row>
    <row r="89" spans="1:14" x14ac:dyDescent="0.3">
      <c r="A89" s="2">
        <v>44440</v>
      </c>
      <c r="B89" s="2" t="s">
        <v>89</v>
      </c>
      <c r="C89" s="2" t="s">
        <v>115</v>
      </c>
      <c r="D89" s="2" t="s">
        <v>13</v>
      </c>
      <c r="E89" s="2" t="s">
        <v>27</v>
      </c>
      <c r="F89" t="s">
        <v>23</v>
      </c>
      <c r="G89">
        <v>41</v>
      </c>
      <c r="H89" t="s">
        <v>24</v>
      </c>
      <c r="I89" t="s">
        <v>25</v>
      </c>
      <c r="J89" t="s">
        <v>31</v>
      </c>
      <c r="K89" t="s">
        <v>35</v>
      </c>
      <c r="L89">
        <v>371</v>
      </c>
      <c r="M89">
        <v>455</v>
      </c>
      <c r="N89">
        <f t="shared" si="1"/>
        <v>84</v>
      </c>
    </row>
    <row r="90" spans="1:14" x14ac:dyDescent="0.3">
      <c r="A90" s="2">
        <v>44440</v>
      </c>
      <c r="B90" s="2" t="s">
        <v>89</v>
      </c>
      <c r="C90" s="2" t="s">
        <v>109</v>
      </c>
      <c r="D90" s="2" t="s">
        <v>94</v>
      </c>
      <c r="E90" s="2" t="s">
        <v>27</v>
      </c>
      <c r="F90" t="s">
        <v>23</v>
      </c>
      <c r="G90">
        <v>41</v>
      </c>
      <c r="H90" t="s">
        <v>24</v>
      </c>
      <c r="I90" t="s">
        <v>25</v>
      </c>
      <c r="J90" t="s">
        <v>31</v>
      </c>
      <c r="K90" t="s">
        <v>35</v>
      </c>
      <c r="L90">
        <v>371</v>
      </c>
      <c r="M90">
        <v>455</v>
      </c>
      <c r="N90">
        <f t="shared" si="1"/>
        <v>84</v>
      </c>
    </row>
  </sheetData>
  <sortState ref="A2:L90">
    <sortCondition ref="A2:A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BarCharts</vt:lpstr>
      <vt:lpstr>CountPlot</vt:lpstr>
      <vt:lpstr>LineChart</vt:lpstr>
      <vt:lpstr>PieChart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2026-07-02T03:06:19Z</dcterms:modified>
</cp:coreProperties>
</file>