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03.Pivot Tables &amp; Data Analysis\"/>
    </mc:Choice>
  </mc:AlternateContent>
  <bookViews>
    <workbookView xWindow="0" yWindow="0" windowWidth="23040" windowHeight="9072" activeTab="2"/>
  </bookViews>
  <sheets>
    <sheet name="Sheet2" sheetId="2" r:id="rId1"/>
    <sheet name="Sheet1" sheetId="1" r:id="rId2"/>
    <sheet name="Sheet3" sheetId="3" r:id="rId3"/>
  </sheets>
  <definedNames>
    <definedName name="aa">"'=OFFSET($A$1,0,0,COUNTA($A:$A),COUNTA($1:$1))"</definedName>
    <definedName name="new">OFFSET(Sheet3!$A$1,0,0,COUNTA(Sheet3!$A:$A),COUNTA(Sheet3!$1:$1))</definedName>
  </definedNames>
  <calcPr calcId="162913"/>
  <pivotCaches>
    <pivotCache cacheId="0" r:id="rId4"/>
    <pivotCache cacheId="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3" l="1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P7" i="1"/>
  <c r="P6" i="1"/>
  <c r="P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</calcChain>
</file>

<file path=xl/sharedStrings.xml><?xml version="1.0" encoding="utf-8"?>
<sst xmlns="http://schemas.openxmlformats.org/spreadsheetml/2006/main" count="195" uniqueCount="22">
  <si>
    <t>Country</t>
  </si>
  <si>
    <t>Region</t>
  </si>
  <si>
    <t>Maritial Status</t>
  </si>
  <si>
    <t>Sale</t>
  </si>
  <si>
    <t>Cost</t>
  </si>
  <si>
    <t>canada</t>
  </si>
  <si>
    <t>west</t>
  </si>
  <si>
    <t>Divorced</t>
  </si>
  <si>
    <t>Married partner</t>
  </si>
  <si>
    <t>Single</t>
  </si>
  <si>
    <t>usa</t>
  </si>
  <si>
    <t>east</t>
  </si>
  <si>
    <t>Unmarried partner</t>
  </si>
  <si>
    <t>north</t>
  </si>
  <si>
    <t>Grand Total</t>
  </si>
  <si>
    <t>Sum of Sale</t>
  </si>
  <si>
    <t>xx</t>
  </si>
  <si>
    <t>pro</t>
  </si>
  <si>
    <t>country &amp; region</t>
  </si>
  <si>
    <t>Row Labels</t>
  </si>
  <si>
    <t>asdfads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</si>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</sst>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1" xfId="0" applyBorder="1"/>
    <xf numFmtId="0" fontId="0" fillId="0" borderId="0" xfId="0" applyAlignment="1">
      <alignment horizontal="left"/>
    </xf>
    <xf numFmtId="0" fontId="0" fillId="0" borderId="2" xfId="0" applyFill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VRAJ SHINDE" refreshedDate="46204.506754513888" createdVersion="6" refreshedVersion="6" minRefreshableVersion="3" recordCount="16">
  <cacheSource type="worksheet">
    <worksheetSource name="Table01"/>
  </cacheSource>
  <cacheFields count="7">
    <cacheField name="Country" numFmtId="0">
      <sharedItems count="2">
        <s v="canada"/>
        <s v="usa"/>
      </sharedItems>
    </cacheField>
    <cacheField name="Region" numFmtId="0">
      <sharedItems count="3">
        <s v="west"/>
        <s v="east"/>
        <s v="north"/>
      </sharedItems>
    </cacheField>
    <cacheField name="Maritial Status" numFmtId="0">
      <sharedItems/>
    </cacheField>
    <cacheField name="Sale" numFmtId="0">
      <sharedItems containsSemiMixedTypes="0" containsString="0" containsNumber="1" containsInteger="1" minValue="0" maxValue="3690"/>
    </cacheField>
    <cacheField name="Cost" numFmtId="0">
      <sharedItems containsSemiMixedTypes="0" containsString="0" containsNumber="1" containsInteger="1" minValue="0" maxValue="2962"/>
    </cacheField>
    <cacheField name="pro" numFmtId="0">
      <sharedItems containsSemiMixedTypes="0" containsString="0" containsNumber="1" containsInteger="1" minValue="0" maxValue="728"/>
    </cacheField>
    <cacheField name="country &amp; 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HIVRAJ SHINDE" refreshedDate="46204.525270370374" createdVersion="6" refreshedVersion="6" minRefreshableVersion="3" recordCount="16">
  <cacheSource type="worksheet">
    <worksheetSource name="new"/>
  </cacheSource>
  <cacheFields count="6">
    <cacheField name="Country" numFmtId="0">
      <sharedItems count="2">
        <s v="canada"/>
        <s v="usa"/>
      </sharedItems>
    </cacheField>
    <cacheField name="Region" numFmtId="0">
      <sharedItems/>
    </cacheField>
    <cacheField name="Maritial Status" numFmtId="0">
      <sharedItems/>
    </cacheField>
    <cacheField name="Sale" numFmtId="0">
      <sharedItems containsSemiMixedTypes="0" containsString="0" containsNumber="1" containsInteger="1" minValue="0" maxValue="3690"/>
    </cacheField>
    <cacheField name="Cost" numFmtId="0">
      <sharedItems containsSemiMixedTypes="0" containsString="0" containsNumber="1" containsInteger="1" minValue="0" maxValue="2962"/>
    </cacheField>
    <cacheField name="pri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s v="Divorced"/>
    <n v="162"/>
    <n v="107"/>
    <n v="55"/>
    <s v="canada--west"/>
  </r>
  <r>
    <x v="0"/>
    <x v="0"/>
    <s v="Married partner"/>
    <n v="3690"/>
    <n v="2962"/>
    <n v="728"/>
    <s v="canada--west"/>
  </r>
  <r>
    <x v="0"/>
    <x v="0"/>
    <s v="Single"/>
    <n v="2721"/>
    <n v="2384"/>
    <n v="337"/>
    <s v="canada--west"/>
  </r>
  <r>
    <x v="1"/>
    <x v="1"/>
    <s v="Divorced"/>
    <n v="1101"/>
    <n v="941"/>
    <n v="160"/>
    <s v="usa--east"/>
  </r>
  <r>
    <x v="1"/>
    <x v="1"/>
    <s v="Married partner"/>
    <n v="3295"/>
    <n v="2680"/>
    <n v="615"/>
    <s v="usa--east"/>
  </r>
  <r>
    <x v="1"/>
    <x v="1"/>
    <s v="Single"/>
    <n v="1382"/>
    <n v="1128"/>
    <n v="254"/>
    <s v="usa--east"/>
  </r>
  <r>
    <x v="1"/>
    <x v="1"/>
    <s v="Unmarried partner"/>
    <n v="776"/>
    <n v="545"/>
    <n v="231"/>
    <s v="usa--east"/>
  </r>
  <r>
    <x v="1"/>
    <x v="2"/>
    <s v="Divorced"/>
    <n v="417"/>
    <n v="386"/>
    <n v="31"/>
    <s v="usa--north"/>
  </r>
  <r>
    <x v="1"/>
    <x v="2"/>
    <s v="Married partner"/>
    <n v="1064"/>
    <n v="797"/>
    <n v="267"/>
    <s v="usa--north"/>
  </r>
  <r>
    <x v="1"/>
    <x v="2"/>
    <s v="Single"/>
    <n v="731"/>
    <n v="600"/>
    <n v="131"/>
    <s v="usa--north"/>
  </r>
  <r>
    <x v="1"/>
    <x v="2"/>
    <s v="Unmarried partner"/>
    <n v="1195"/>
    <n v="955"/>
    <n v="240"/>
    <s v="usa--north"/>
  </r>
  <r>
    <x v="1"/>
    <x v="0"/>
    <s v="Married partner"/>
    <n v="1969"/>
    <n v="1503"/>
    <n v="466"/>
    <s v="usa--west"/>
  </r>
  <r>
    <x v="1"/>
    <x v="0"/>
    <s v="Single"/>
    <n v="395"/>
    <n v="249"/>
    <n v="146"/>
    <s v="usa--west"/>
  </r>
  <r>
    <x v="1"/>
    <x v="0"/>
    <s v="Unmarried partner"/>
    <n v="251"/>
    <n v="196"/>
    <n v="55"/>
    <s v="usa--west"/>
  </r>
  <r>
    <x v="0"/>
    <x v="1"/>
    <s v="xx"/>
    <n v="0"/>
    <n v="0"/>
    <n v="0"/>
    <s v="canada--east"/>
  </r>
  <r>
    <x v="0"/>
    <x v="2"/>
    <s v="xx"/>
    <n v="0"/>
    <n v="0"/>
    <n v="0"/>
    <s v="canada--nort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">
  <r>
    <x v="0"/>
    <s v="west"/>
    <s v="Divorced"/>
    <n v="162"/>
    <n v="107"/>
    <s v="asdfads"/>
  </r>
  <r>
    <x v="0"/>
    <s v="west"/>
    <s v="Married partner"/>
    <n v="3690"/>
    <n v="2962"/>
    <s v="asdfads"/>
  </r>
  <r>
    <x v="0"/>
    <s v="west"/>
    <s v="Single"/>
    <n v="2721"/>
    <n v="2384"/>
    <s v="asdfads"/>
  </r>
  <r>
    <x v="1"/>
    <s v="east"/>
    <s v="Divorced"/>
    <n v="1101"/>
    <n v="941"/>
    <s v="asdfads"/>
  </r>
  <r>
    <x v="1"/>
    <s v="east"/>
    <s v="Married partner"/>
    <n v="3295"/>
    <n v="2680"/>
    <s v="asdfads"/>
  </r>
  <r>
    <x v="1"/>
    <s v="east"/>
    <s v="Single"/>
    <n v="1382"/>
    <n v="1128"/>
    <s v="asdfads"/>
  </r>
  <r>
    <x v="1"/>
    <s v="east"/>
    <s v="Unmarried partner"/>
    <n v="776"/>
    <n v="545"/>
    <s v="asdfads"/>
  </r>
  <r>
    <x v="1"/>
    <s v="north"/>
    <s v="Divorced"/>
    <n v="417"/>
    <n v="386"/>
    <s v="asdfads"/>
  </r>
  <r>
    <x v="1"/>
    <s v="north"/>
    <s v="Married partner"/>
    <n v="1064"/>
    <n v="797"/>
    <s v="asdfads"/>
  </r>
  <r>
    <x v="1"/>
    <s v="north"/>
    <s v="Single"/>
    <n v="731"/>
    <n v="600"/>
    <s v="asdfads"/>
  </r>
  <r>
    <x v="1"/>
    <s v="north"/>
    <s v="Unmarried partner"/>
    <n v="1195"/>
    <n v="955"/>
    <s v="asdfads"/>
  </r>
  <r>
    <x v="1"/>
    <s v="west"/>
    <s v="Married partner"/>
    <n v="1969"/>
    <n v="1503"/>
    <s v="asdfads"/>
  </r>
  <r>
    <x v="1"/>
    <s v="west"/>
    <s v="Single"/>
    <n v="395"/>
    <n v="249"/>
    <s v="asdfads"/>
  </r>
  <r>
    <x v="1"/>
    <s v="west"/>
    <s v="Unmarried partner"/>
    <n v="251"/>
    <n v="196"/>
    <s v="asdfads"/>
  </r>
  <r>
    <x v="0"/>
    <s v="east"/>
    <s v="xx"/>
    <n v="0"/>
    <n v="0"/>
    <s v="asdfads"/>
  </r>
  <r>
    <x v="0"/>
    <s v="north"/>
    <s v="xx"/>
    <n v="0"/>
    <n v="0"/>
    <s v="asdfad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C10" firstHeaderRow="1" firstDataRow="1" firstDataCol="2"/>
  <pivotFields count="7"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3">
        <item x="1"/>
        <item x="2"/>
        <item x="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7">
    <i>
      <x/>
      <x/>
    </i>
    <i r="1">
      <x v="1"/>
    </i>
    <i r="1">
      <x v="2"/>
    </i>
    <i>
      <x v="1"/>
      <x/>
    </i>
    <i r="1">
      <x v="1"/>
    </i>
    <i r="1">
      <x v="2"/>
    </i>
    <i t="grand">
      <x/>
    </i>
  </rowItems>
  <colItems count="1">
    <i/>
  </colItems>
  <dataFields count="1">
    <dataField name="Sum of Sal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6:L19" firstHeaderRow="1" firstDataRow="1" firstDataCol="1"/>
  <pivotFields count="6"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01" displayName="Table01" ref="A1:G17" totalsRowShown="0">
  <autoFilter ref="A1:G17"/>
  <tableColumns count="7">
    <tableColumn id="1" name="Country"/>
    <tableColumn id="2" name="Region"/>
    <tableColumn id="3" name="Maritial Status"/>
    <tableColumn id="4" name="Sale"/>
    <tableColumn id="5" name="Cost"/>
    <tableColumn id="6" name="pro" dataDxfId="1">
      <calculatedColumnFormula>Table01[[#This Row],[Sale]]-Table01[[#This Row],[Cost]]</calculatedColumnFormula>
    </tableColumn>
    <tableColumn id="7" name="country &amp; region" dataDxfId="0">
      <calculatedColumnFormula>Table01[[#This Row],[Country]]&amp;"--"&amp;Table01[[#This Row],[Region]]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9" customWidth="1"/>
    <col min="3" max="3" width="10.88671875" bestFit="1" customWidth="1"/>
  </cols>
  <sheetData>
    <row r="3" spans="1:3" x14ac:dyDescent="0.3">
      <c r="A3" s="1" t="s">
        <v>0</v>
      </c>
      <c r="B3" s="1" t="s">
        <v>1</v>
      </c>
      <c r="C3" t="s">
        <v>15</v>
      </c>
    </row>
    <row r="4" spans="1:3" x14ac:dyDescent="0.3">
      <c r="A4" t="s">
        <v>5</v>
      </c>
      <c r="B4" t="s">
        <v>11</v>
      </c>
      <c r="C4" s="2">
        <v>0</v>
      </c>
    </row>
    <row r="5" spans="1:3" x14ac:dyDescent="0.3">
      <c r="B5" t="s">
        <v>13</v>
      </c>
      <c r="C5" s="2">
        <v>0</v>
      </c>
    </row>
    <row r="6" spans="1:3" x14ac:dyDescent="0.3">
      <c r="B6" t="s">
        <v>6</v>
      </c>
      <c r="C6" s="2">
        <v>6573</v>
      </c>
    </row>
    <row r="7" spans="1:3" x14ac:dyDescent="0.3">
      <c r="A7" t="s">
        <v>10</v>
      </c>
      <c r="B7" t="s">
        <v>11</v>
      </c>
      <c r="C7" s="2">
        <v>6554</v>
      </c>
    </row>
    <row r="8" spans="1:3" x14ac:dyDescent="0.3">
      <c r="B8" t="s">
        <v>13</v>
      </c>
      <c r="C8" s="2">
        <v>3407</v>
      </c>
    </row>
    <row r="9" spans="1:3" x14ac:dyDescent="0.3">
      <c r="B9" t="s">
        <v>6</v>
      </c>
      <c r="C9" s="2">
        <v>2615</v>
      </c>
    </row>
    <row r="10" spans="1:3" x14ac:dyDescent="0.3">
      <c r="A10" t="s">
        <v>14</v>
      </c>
      <c r="C10" s="2">
        <v>19149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selection activeCell="K4" sqref="K4:O20"/>
    </sheetView>
  </sheetViews>
  <sheetFormatPr defaultRowHeight="14.4" x14ac:dyDescent="0.3"/>
  <cols>
    <col min="1" max="1" width="9.6640625" customWidth="1"/>
    <col min="3" max="3" width="15" customWidth="1"/>
    <col min="7" max="7" width="17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</row>
    <row r="2" spans="1:16" x14ac:dyDescent="0.3">
      <c r="A2" t="s">
        <v>5</v>
      </c>
      <c r="B2" t="s">
        <v>6</v>
      </c>
      <c r="C2" t="s">
        <v>7</v>
      </c>
      <c r="D2">
        <v>162</v>
      </c>
      <c r="E2">
        <v>107</v>
      </c>
      <c r="F2">
        <f>Table01[[#This Row],[Sale]]-Table01[[#This Row],[Cost]]</f>
        <v>55</v>
      </c>
      <c r="G2" t="str">
        <f>Table01[[#This Row],[Country]]&amp;"--"&amp;Table01[[#This Row],[Region]]</f>
        <v>canada--west</v>
      </c>
    </row>
    <row r="3" spans="1:16" x14ac:dyDescent="0.3">
      <c r="A3" t="s">
        <v>5</v>
      </c>
      <c r="B3" t="s">
        <v>6</v>
      </c>
      <c r="C3" t="s">
        <v>8</v>
      </c>
      <c r="D3">
        <v>3690</v>
      </c>
      <c r="E3">
        <v>2962</v>
      </c>
      <c r="F3">
        <f>Table01[[#This Row],[Sale]]-Table01[[#This Row],[Cost]]</f>
        <v>728</v>
      </c>
      <c r="G3" t="str">
        <f>Table01[[#This Row],[Country]]&amp;"--"&amp;Table01[[#This Row],[Region]]</f>
        <v>canada--west</v>
      </c>
    </row>
    <row r="4" spans="1:16" x14ac:dyDescent="0.3">
      <c r="A4" t="s">
        <v>5</v>
      </c>
      <c r="B4" t="s">
        <v>6</v>
      </c>
      <c r="C4" t="s">
        <v>9</v>
      </c>
      <c r="D4">
        <v>2721</v>
      </c>
      <c r="E4">
        <v>2384</v>
      </c>
      <c r="F4">
        <f>Table01[[#This Row],[Sale]]-Table01[[#This Row],[Cost]]</f>
        <v>337</v>
      </c>
      <c r="G4" t="str">
        <f>Table01[[#This Row],[Country]]&amp;"--"&amp;Table01[[#This Row],[Region]]</f>
        <v>canada--west</v>
      </c>
      <c r="K4" s="3" t="s">
        <v>0</v>
      </c>
      <c r="L4" s="3" t="s">
        <v>1</v>
      </c>
      <c r="M4" s="3" t="s">
        <v>2</v>
      </c>
      <c r="N4" s="3" t="s">
        <v>3</v>
      </c>
      <c r="O4" s="3" t="s">
        <v>4</v>
      </c>
    </row>
    <row r="5" spans="1:16" x14ac:dyDescent="0.3">
      <c r="A5" t="s">
        <v>10</v>
      </c>
      <c r="B5" t="s">
        <v>11</v>
      </c>
      <c r="C5" t="s">
        <v>7</v>
      </c>
      <c r="D5">
        <v>1101</v>
      </c>
      <c r="E5">
        <v>941</v>
      </c>
      <c r="F5">
        <f>Table01[[#This Row],[Sale]]-Table01[[#This Row],[Cost]]</f>
        <v>160</v>
      </c>
      <c r="G5" t="str">
        <f>Table01[[#This Row],[Country]]&amp;"--"&amp;Table01[[#This Row],[Region]]</f>
        <v>usa--east</v>
      </c>
      <c r="K5" s="3" t="s">
        <v>5</v>
      </c>
      <c r="L5" s="3" t="s">
        <v>6</v>
      </c>
      <c r="M5" s="3" t="s">
        <v>7</v>
      </c>
      <c r="N5" s="3">
        <v>162</v>
      </c>
      <c r="O5" s="3">
        <v>107</v>
      </c>
      <c r="P5">
        <f>N5-O5</f>
        <v>55</v>
      </c>
    </row>
    <row r="6" spans="1:16" x14ac:dyDescent="0.3">
      <c r="A6" t="s">
        <v>10</v>
      </c>
      <c r="B6" t="s">
        <v>11</v>
      </c>
      <c r="C6" t="s">
        <v>8</v>
      </c>
      <c r="D6">
        <v>3295</v>
      </c>
      <c r="E6">
        <v>2680</v>
      </c>
      <c r="F6">
        <f>Table01[[#This Row],[Sale]]-Table01[[#This Row],[Cost]]</f>
        <v>615</v>
      </c>
      <c r="G6" t="str">
        <f>Table01[[#This Row],[Country]]&amp;"--"&amp;Table01[[#This Row],[Region]]</f>
        <v>usa--east</v>
      </c>
      <c r="K6" s="3" t="s">
        <v>5</v>
      </c>
      <c r="L6" s="3" t="s">
        <v>6</v>
      </c>
      <c r="M6" s="3" t="s">
        <v>8</v>
      </c>
      <c r="N6" s="3">
        <v>3690</v>
      </c>
      <c r="O6" s="3">
        <v>2962</v>
      </c>
      <c r="P6">
        <f>N6-O6</f>
        <v>728</v>
      </c>
    </row>
    <row r="7" spans="1:16" x14ac:dyDescent="0.3">
      <c r="A7" t="s">
        <v>10</v>
      </c>
      <c r="B7" t="s">
        <v>11</v>
      </c>
      <c r="C7" t="s">
        <v>9</v>
      </c>
      <c r="D7">
        <v>1382</v>
      </c>
      <c r="E7">
        <v>1128</v>
      </c>
      <c r="F7">
        <f>Table01[[#This Row],[Sale]]-Table01[[#This Row],[Cost]]</f>
        <v>254</v>
      </c>
      <c r="G7" t="str">
        <f>Table01[[#This Row],[Country]]&amp;"--"&amp;Table01[[#This Row],[Region]]</f>
        <v>usa--east</v>
      </c>
      <c r="K7" s="3" t="s">
        <v>5</v>
      </c>
      <c r="L7" s="3" t="s">
        <v>6</v>
      </c>
      <c r="M7" s="3" t="s">
        <v>9</v>
      </c>
      <c r="N7" s="3">
        <v>2721</v>
      </c>
      <c r="O7" s="3">
        <v>2384</v>
      </c>
      <c r="P7">
        <f>N7-O7</f>
        <v>337</v>
      </c>
    </row>
    <row r="8" spans="1:16" x14ac:dyDescent="0.3">
      <c r="A8" t="s">
        <v>10</v>
      </c>
      <c r="B8" t="s">
        <v>11</v>
      </c>
      <c r="C8" t="s">
        <v>12</v>
      </c>
      <c r="D8">
        <v>776</v>
      </c>
      <c r="E8">
        <v>545</v>
      </c>
      <c r="F8">
        <f>Table01[[#This Row],[Sale]]-Table01[[#This Row],[Cost]]</f>
        <v>231</v>
      </c>
      <c r="G8" t="str">
        <f>Table01[[#This Row],[Country]]&amp;"--"&amp;Table01[[#This Row],[Region]]</f>
        <v>usa--east</v>
      </c>
      <c r="K8" s="3" t="s">
        <v>10</v>
      </c>
      <c r="L8" s="3" t="s">
        <v>11</v>
      </c>
      <c r="M8" s="3" t="s">
        <v>7</v>
      </c>
      <c r="N8" s="3">
        <v>1101</v>
      </c>
      <c r="O8" s="3">
        <v>941</v>
      </c>
    </row>
    <row r="9" spans="1:16" x14ac:dyDescent="0.3">
      <c r="A9" t="s">
        <v>10</v>
      </c>
      <c r="B9" t="s">
        <v>13</v>
      </c>
      <c r="C9" t="s">
        <v>7</v>
      </c>
      <c r="D9">
        <v>417</v>
      </c>
      <c r="E9">
        <v>386</v>
      </c>
      <c r="F9">
        <f>Table01[[#This Row],[Sale]]-Table01[[#This Row],[Cost]]</f>
        <v>31</v>
      </c>
      <c r="G9" t="str">
        <f>Table01[[#This Row],[Country]]&amp;"--"&amp;Table01[[#This Row],[Region]]</f>
        <v>usa--north</v>
      </c>
      <c r="K9" s="3" t="s">
        <v>10</v>
      </c>
      <c r="L9" s="3" t="s">
        <v>11</v>
      </c>
      <c r="M9" s="3" t="s">
        <v>8</v>
      </c>
      <c r="N9" s="3">
        <v>3295</v>
      </c>
      <c r="O9" s="3">
        <v>2680</v>
      </c>
    </row>
    <row r="10" spans="1:16" x14ac:dyDescent="0.3">
      <c r="A10" t="s">
        <v>10</v>
      </c>
      <c r="B10" t="s">
        <v>13</v>
      </c>
      <c r="C10" t="s">
        <v>8</v>
      </c>
      <c r="D10">
        <v>1064</v>
      </c>
      <c r="E10">
        <v>797</v>
      </c>
      <c r="F10">
        <f>Table01[[#This Row],[Sale]]-Table01[[#This Row],[Cost]]</f>
        <v>267</v>
      </c>
      <c r="G10" t="str">
        <f>Table01[[#This Row],[Country]]&amp;"--"&amp;Table01[[#This Row],[Region]]</f>
        <v>usa--north</v>
      </c>
      <c r="K10" s="3" t="s">
        <v>10</v>
      </c>
      <c r="L10" s="3" t="s">
        <v>11</v>
      </c>
      <c r="M10" s="3" t="s">
        <v>9</v>
      </c>
      <c r="N10" s="3">
        <v>1382</v>
      </c>
      <c r="O10" s="3">
        <v>1128</v>
      </c>
    </row>
    <row r="11" spans="1:16" x14ac:dyDescent="0.3">
      <c r="A11" t="s">
        <v>10</v>
      </c>
      <c r="B11" t="s">
        <v>13</v>
      </c>
      <c r="C11" t="s">
        <v>9</v>
      </c>
      <c r="D11">
        <v>731</v>
      </c>
      <c r="E11">
        <v>600</v>
      </c>
      <c r="F11">
        <f>Table01[[#This Row],[Sale]]-Table01[[#This Row],[Cost]]</f>
        <v>131</v>
      </c>
      <c r="G11" t="str">
        <f>Table01[[#This Row],[Country]]&amp;"--"&amp;Table01[[#This Row],[Region]]</f>
        <v>usa--north</v>
      </c>
      <c r="K11" s="3" t="s">
        <v>10</v>
      </c>
      <c r="L11" s="3" t="s">
        <v>11</v>
      </c>
      <c r="M11" s="3" t="s">
        <v>12</v>
      </c>
      <c r="N11" s="3">
        <v>776</v>
      </c>
      <c r="O11" s="3">
        <v>545</v>
      </c>
    </row>
    <row r="12" spans="1:16" x14ac:dyDescent="0.3">
      <c r="A12" t="s">
        <v>10</v>
      </c>
      <c r="B12" t="s">
        <v>13</v>
      </c>
      <c r="C12" t="s">
        <v>12</v>
      </c>
      <c r="D12">
        <v>1195</v>
      </c>
      <c r="E12">
        <v>955</v>
      </c>
      <c r="F12">
        <f>Table01[[#This Row],[Sale]]-Table01[[#This Row],[Cost]]</f>
        <v>240</v>
      </c>
      <c r="G12" t="str">
        <f>Table01[[#This Row],[Country]]&amp;"--"&amp;Table01[[#This Row],[Region]]</f>
        <v>usa--north</v>
      </c>
      <c r="K12" s="3" t="s">
        <v>10</v>
      </c>
      <c r="L12" s="3" t="s">
        <v>13</v>
      </c>
      <c r="M12" s="3" t="s">
        <v>7</v>
      </c>
      <c r="N12" s="3">
        <v>417</v>
      </c>
      <c r="O12" s="3">
        <v>386</v>
      </c>
    </row>
    <row r="13" spans="1:16" x14ac:dyDescent="0.3">
      <c r="A13" t="s">
        <v>10</v>
      </c>
      <c r="B13" t="s">
        <v>6</v>
      </c>
      <c r="C13" t="s">
        <v>8</v>
      </c>
      <c r="D13">
        <v>1969</v>
      </c>
      <c r="E13">
        <v>1503</v>
      </c>
      <c r="F13">
        <f>Table01[[#This Row],[Sale]]-Table01[[#This Row],[Cost]]</f>
        <v>466</v>
      </c>
      <c r="G13" t="str">
        <f>Table01[[#This Row],[Country]]&amp;"--"&amp;Table01[[#This Row],[Region]]</f>
        <v>usa--west</v>
      </c>
      <c r="K13" s="3" t="s">
        <v>10</v>
      </c>
      <c r="L13" s="3" t="s">
        <v>13</v>
      </c>
      <c r="M13" s="3" t="s">
        <v>8</v>
      </c>
      <c r="N13" s="3">
        <v>1064</v>
      </c>
      <c r="O13" s="3">
        <v>797</v>
      </c>
    </row>
    <row r="14" spans="1:16" x14ac:dyDescent="0.3">
      <c r="A14" t="s">
        <v>10</v>
      </c>
      <c r="B14" t="s">
        <v>6</v>
      </c>
      <c r="C14" t="s">
        <v>9</v>
      </c>
      <c r="D14">
        <v>395</v>
      </c>
      <c r="E14">
        <v>249</v>
      </c>
      <c r="F14">
        <f>Table01[[#This Row],[Sale]]-Table01[[#This Row],[Cost]]</f>
        <v>146</v>
      </c>
      <c r="G14" t="str">
        <f>Table01[[#This Row],[Country]]&amp;"--"&amp;Table01[[#This Row],[Region]]</f>
        <v>usa--west</v>
      </c>
      <c r="K14" s="3" t="s">
        <v>10</v>
      </c>
      <c r="L14" s="3" t="s">
        <v>13</v>
      </c>
      <c r="M14" s="3" t="s">
        <v>9</v>
      </c>
      <c r="N14" s="3">
        <v>731</v>
      </c>
      <c r="O14" s="3">
        <v>600</v>
      </c>
    </row>
    <row r="15" spans="1:16" x14ac:dyDescent="0.3">
      <c r="A15" t="s">
        <v>10</v>
      </c>
      <c r="B15" t="s">
        <v>6</v>
      </c>
      <c r="C15" t="s">
        <v>12</v>
      </c>
      <c r="D15">
        <v>251</v>
      </c>
      <c r="E15">
        <v>196</v>
      </c>
      <c r="F15">
        <f>Table01[[#This Row],[Sale]]-Table01[[#This Row],[Cost]]</f>
        <v>55</v>
      </c>
      <c r="G15" t="str">
        <f>Table01[[#This Row],[Country]]&amp;"--"&amp;Table01[[#This Row],[Region]]</f>
        <v>usa--west</v>
      </c>
      <c r="K15" s="3" t="s">
        <v>10</v>
      </c>
      <c r="L15" s="3" t="s">
        <v>13</v>
      </c>
      <c r="M15" s="3" t="s">
        <v>12</v>
      </c>
      <c r="N15" s="3">
        <v>1195</v>
      </c>
      <c r="O15" s="3">
        <v>955</v>
      </c>
    </row>
    <row r="16" spans="1:16" x14ac:dyDescent="0.3">
      <c r="A16" t="s">
        <v>5</v>
      </c>
      <c r="B16" t="s">
        <v>11</v>
      </c>
      <c r="C16" t="s">
        <v>16</v>
      </c>
      <c r="D16">
        <v>0</v>
      </c>
      <c r="E16">
        <v>0</v>
      </c>
      <c r="F16">
        <f>Table01[[#This Row],[Sale]]-Table01[[#This Row],[Cost]]</f>
        <v>0</v>
      </c>
      <c r="G16" t="str">
        <f>Table01[[#This Row],[Country]]&amp;"--"&amp;Table01[[#This Row],[Region]]</f>
        <v>canada--east</v>
      </c>
      <c r="K16" s="3" t="s">
        <v>10</v>
      </c>
      <c r="L16" s="3" t="s">
        <v>6</v>
      </c>
      <c r="M16" s="3" t="s">
        <v>8</v>
      </c>
      <c r="N16" s="3">
        <v>1969</v>
      </c>
      <c r="O16" s="3">
        <v>1503</v>
      </c>
    </row>
    <row r="17" spans="1:15" x14ac:dyDescent="0.3">
      <c r="A17" t="s">
        <v>5</v>
      </c>
      <c r="B17" t="s">
        <v>13</v>
      </c>
      <c r="C17" t="s">
        <v>16</v>
      </c>
      <c r="D17">
        <v>0</v>
      </c>
      <c r="E17">
        <v>0</v>
      </c>
      <c r="F17">
        <f>Table01[[#This Row],[Sale]]-Table01[[#This Row],[Cost]]</f>
        <v>0</v>
      </c>
      <c r="G17" t="str">
        <f>Table01[[#This Row],[Country]]&amp;"--"&amp;Table01[[#This Row],[Region]]</f>
        <v>canada--north</v>
      </c>
      <c r="K17" s="3" t="s">
        <v>10</v>
      </c>
      <c r="L17" s="3" t="s">
        <v>6</v>
      </c>
      <c r="M17" s="3" t="s">
        <v>9</v>
      </c>
      <c r="N17" s="3">
        <v>395</v>
      </c>
      <c r="O17" s="3">
        <v>249</v>
      </c>
    </row>
    <row r="18" spans="1:15" x14ac:dyDescent="0.3">
      <c r="K18" s="3" t="s">
        <v>10</v>
      </c>
      <c r="L18" s="3" t="s">
        <v>6</v>
      </c>
      <c r="M18" s="3" t="s">
        <v>12</v>
      </c>
      <c r="N18" s="3">
        <v>251</v>
      </c>
      <c r="O18" s="3">
        <v>196</v>
      </c>
    </row>
    <row r="19" spans="1:15" x14ac:dyDescent="0.3">
      <c r="K19" s="3" t="s">
        <v>5</v>
      </c>
      <c r="L19" s="3" t="s">
        <v>11</v>
      </c>
      <c r="M19" s="3" t="s">
        <v>16</v>
      </c>
      <c r="N19" s="3">
        <v>0</v>
      </c>
      <c r="O19" s="3">
        <v>0</v>
      </c>
    </row>
    <row r="20" spans="1:15" x14ac:dyDescent="0.3">
      <c r="K20" s="3" t="s">
        <v>5</v>
      </c>
      <c r="L20" s="3" t="s">
        <v>13</v>
      </c>
      <c r="M20" s="3" t="s">
        <v>16</v>
      </c>
      <c r="N20" s="3">
        <v>0</v>
      </c>
      <c r="O20" s="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J11" sqref="J11"/>
    </sheetView>
  </sheetViews>
  <sheetFormatPr defaultRowHeight="14.4" x14ac:dyDescent="0.3"/>
  <cols>
    <col min="11" max="11" width="12.5546875" bestFit="1" customWidth="1"/>
    <col min="12" max="12" width="10.88671875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21</v>
      </c>
    </row>
    <row r="2" spans="1:12" x14ac:dyDescent="0.3">
      <c r="A2" s="3" t="s">
        <v>5</v>
      </c>
      <c r="B2" s="3" t="s">
        <v>6</v>
      </c>
      <c r="C2" s="3" t="s">
        <v>7</v>
      </c>
      <c r="D2" s="3">
        <v>162</v>
      </c>
      <c r="E2" s="3">
        <v>107</v>
      </c>
      <c r="F2" s="5" t="s">
        <v>20</v>
      </c>
    </row>
    <row r="3" spans="1:12" x14ac:dyDescent="0.3">
      <c r="A3" s="3" t="s">
        <v>5</v>
      </c>
      <c r="B3" s="3" t="s">
        <v>6</v>
      </c>
      <c r="C3" s="3" t="s">
        <v>8</v>
      </c>
      <c r="D3" s="3">
        <v>3690</v>
      </c>
      <c r="E3" s="3">
        <v>2962</v>
      </c>
      <c r="F3" s="5" t="s">
        <v>20</v>
      </c>
    </row>
    <row r="4" spans="1:12" x14ac:dyDescent="0.3">
      <c r="A4" s="3" t="s">
        <v>5</v>
      </c>
      <c r="B4" s="3" t="s">
        <v>6</v>
      </c>
      <c r="C4" s="3" t="s">
        <v>9</v>
      </c>
      <c r="D4" s="3">
        <v>2721</v>
      </c>
      <c r="E4" s="3">
        <v>2384</v>
      </c>
      <c r="F4" s="5" t="s">
        <v>20</v>
      </c>
      <c r="K4" t="e">
        <f ca="1">OFFSET($A$1,0,0,COUNTA($A:$A),COUNTA($1:$1))</f>
        <v>#VALUE!</v>
      </c>
    </row>
    <row r="5" spans="1:12" x14ac:dyDescent="0.3">
      <c r="A5" s="3" t="s">
        <v>10</v>
      </c>
      <c r="B5" s="3" t="s">
        <v>11</v>
      </c>
      <c r="C5" s="3" t="s">
        <v>7</v>
      </c>
      <c r="D5" s="3">
        <v>1101</v>
      </c>
      <c r="E5" s="3">
        <v>941</v>
      </c>
      <c r="F5" s="5" t="s">
        <v>20</v>
      </c>
    </row>
    <row r="6" spans="1:12" x14ac:dyDescent="0.3">
      <c r="A6" s="3" t="s">
        <v>10</v>
      </c>
      <c r="B6" s="3" t="s">
        <v>11</v>
      </c>
      <c r="C6" s="3" t="s">
        <v>8</v>
      </c>
      <c r="D6" s="3">
        <v>3295</v>
      </c>
      <c r="E6" s="3">
        <v>2680</v>
      </c>
      <c r="F6" s="5" t="s">
        <v>20</v>
      </c>
    </row>
    <row r="7" spans="1:12" x14ac:dyDescent="0.3">
      <c r="A7" s="3" t="s">
        <v>10</v>
      </c>
      <c r="B7" s="3" t="s">
        <v>11</v>
      </c>
      <c r="C7" s="3" t="s">
        <v>9</v>
      </c>
      <c r="D7" s="3">
        <v>1382</v>
      </c>
      <c r="E7" s="3">
        <v>1128</v>
      </c>
      <c r="F7" s="5" t="s">
        <v>20</v>
      </c>
    </row>
    <row r="8" spans="1:12" x14ac:dyDescent="0.3">
      <c r="A8" s="3" t="s">
        <v>10</v>
      </c>
      <c r="B8" s="3" t="s">
        <v>11</v>
      </c>
      <c r="C8" s="3" t="s">
        <v>12</v>
      </c>
      <c r="D8" s="3">
        <v>776</v>
      </c>
      <c r="E8" s="3">
        <v>545</v>
      </c>
      <c r="F8" s="5" t="s">
        <v>20</v>
      </c>
    </row>
    <row r="9" spans="1:12" x14ac:dyDescent="0.3">
      <c r="A9" s="3" t="s">
        <v>10</v>
      </c>
      <c r="B9" s="3" t="s">
        <v>13</v>
      </c>
      <c r="C9" s="3" t="s">
        <v>7</v>
      </c>
      <c r="D9" s="3">
        <v>417</v>
      </c>
      <c r="E9" s="3">
        <v>386</v>
      </c>
      <c r="F9" s="5" t="s">
        <v>20</v>
      </c>
    </row>
    <row r="10" spans="1:12" x14ac:dyDescent="0.3">
      <c r="A10" s="3" t="s">
        <v>10</v>
      </c>
      <c r="B10" s="3" t="s">
        <v>13</v>
      </c>
      <c r="C10" s="3" t="s">
        <v>8</v>
      </c>
      <c r="D10" s="3">
        <v>1064</v>
      </c>
      <c r="E10" s="3">
        <v>797</v>
      </c>
      <c r="F10" s="5" t="s">
        <v>20</v>
      </c>
    </row>
    <row r="11" spans="1:12" x14ac:dyDescent="0.3">
      <c r="A11" s="3" t="s">
        <v>10</v>
      </c>
      <c r="B11" s="3" t="s">
        <v>13</v>
      </c>
      <c r="C11" s="3" t="s">
        <v>9</v>
      </c>
      <c r="D11" s="3">
        <v>731</v>
      </c>
      <c r="E11" s="3">
        <v>600</v>
      </c>
      <c r="F11" s="5" t="s">
        <v>20</v>
      </c>
    </row>
    <row r="12" spans="1:12" x14ac:dyDescent="0.3">
      <c r="A12" s="3" t="s">
        <v>10</v>
      </c>
      <c r="B12" s="3" t="s">
        <v>13</v>
      </c>
      <c r="C12" s="3" t="s">
        <v>12</v>
      </c>
      <c r="D12" s="3">
        <v>1195</v>
      </c>
      <c r="E12" s="3">
        <v>955</v>
      </c>
      <c r="F12" s="5" t="s">
        <v>20</v>
      </c>
    </row>
    <row r="13" spans="1:12" x14ac:dyDescent="0.3">
      <c r="A13" s="3" t="s">
        <v>10</v>
      </c>
      <c r="B13" s="3" t="s">
        <v>6</v>
      </c>
      <c r="C13" s="3" t="s">
        <v>8</v>
      </c>
      <c r="D13" s="3">
        <v>1969</v>
      </c>
      <c r="E13" s="3">
        <v>1503</v>
      </c>
      <c r="F13" s="5" t="s">
        <v>20</v>
      </c>
    </row>
    <row r="14" spans="1:12" x14ac:dyDescent="0.3">
      <c r="A14" s="3" t="s">
        <v>10</v>
      </c>
      <c r="B14" s="3" t="s">
        <v>6</v>
      </c>
      <c r="C14" s="3" t="s">
        <v>9</v>
      </c>
      <c r="D14" s="3">
        <v>395</v>
      </c>
      <c r="E14" s="3">
        <v>249</v>
      </c>
      <c r="F14" s="5" t="s">
        <v>20</v>
      </c>
    </row>
    <row r="15" spans="1:12" x14ac:dyDescent="0.3">
      <c r="A15" s="3" t="s">
        <v>10</v>
      </c>
      <c r="B15" s="3" t="s">
        <v>6</v>
      </c>
      <c r="C15" s="3" t="s">
        <v>12</v>
      </c>
      <c r="D15" s="3">
        <v>251</v>
      </c>
      <c r="E15" s="3">
        <v>196</v>
      </c>
      <c r="F15" s="5" t="s">
        <v>20</v>
      </c>
    </row>
    <row r="16" spans="1:12" x14ac:dyDescent="0.3">
      <c r="A16" s="3" t="s">
        <v>5</v>
      </c>
      <c r="B16" s="3" t="s">
        <v>11</v>
      </c>
      <c r="C16" s="3" t="s">
        <v>16</v>
      </c>
      <c r="D16" s="3">
        <v>0</v>
      </c>
      <c r="E16" s="3">
        <v>0</v>
      </c>
      <c r="F16" s="5" t="s">
        <v>20</v>
      </c>
      <c r="K16" s="1" t="s">
        <v>19</v>
      </c>
      <c r="L16" t="s">
        <v>15</v>
      </c>
    </row>
    <row r="17" spans="1:12" x14ac:dyDescent="0.3">
      <c r="A17" s="3" t="s">
        <v>5</v>
      </c>
      <c r="B17" s="3" t="s">
        <v>13</v>
      </c>
      <c r="C17" s="3" t="s">
        <v>16</v>
      </c>
      <c r="D17" s="3">
        <v>0</v>
      </c>
      <c r="E17" s="3">
        <v>0</v>
      </c>
      <c r="F17" s="5" t="s">
        <v>20</v>
      </c>
      <c r="K17" s="4" t="s">
        <v>5</v>
      </c>
      <c r="L17" s="2">
        <v>6573</v>
      </c>
    </row>
    <row r="18" spans="1:12" x14ac:dyDescent="0.3">
      <c r="K18" s="4" t="s">
        <v>10</v>
      </c>
      <c r="L18" s="2">
        <v>12576</v>
      </c>
    </row>
    <row r="19" spans="1:12" x14ac:dyDescent="0.3">
      <c r="K19" s="4" t="s">
        <v>14</v>
      </c>
      <c r="L19" s="2">
        <v>19149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2026-07-01T06:33:18Z</dcterms:created>
  <dcterms:modified xsi:type="dcterms:W3CDTF">2026-07-01T07:08:16Z</dcterms:modified>
</cp:coreProperties>
</file>