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6"/>
  </bookViews>
  <sheets>
    <sheet name="Index" sheetId="4" r:id="rId1"/>
    <sheet name="Sheet1" sheetId="6" r:id="rId2"/>
    <sheet name="Match" sheetId="2" r:id="rId3"/>
    <sheet name="MatchAndIndex" sheetId="3" r:id="rId4"/>
    <sheet name="Sheet2" sheetId="7" r:id="rId5"/>
    <sheet name="MatchAndIndex-2" sheetId="1" r:id="rId6"/>
    <sheet name="Sheet3" sheetId="8" r:id="rId7"/>
    <sheet name="=XLOOKUP()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8" l="1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K1" i="8"/>
  <c r="L1" i="8" s="1"/>
  <c r="M1" i="8" s="1"/>
  <c r="J1" i="8"/>
  <c r="H3" i="8"/>
  <c r="H4" i="8" s="1"/>
  <c r="H5" i="8" s="1"/>
  <c r="H6" i="8" s="1"/>
  <c r="H7" i="8" s="1"/>
  <c r="H8" i="8" s="1"/>
  <c r="H9" i="8" s="1"/>
  <c r="H10" i="8" s="1"/>
  <c r="B10" i="7" l="1"/>
  <c r="B9" i="7"/>
  <c r="B8" i="7"/>
  <c r="B7" i="7"/>
  <c r="B6" i="7"/>
  <c r="B5" i="7"/>
  <c r="B4" i="7"/>
  <c r="B3" i="7"/>
  <c r="J1" i="7"/>
  <c r="E3" i="7"/>
  <c r="E4" i="7" s="1"/>
  <c r="E5" i="7" s="1"/>
  <c r="E6" i="7" s="1"/>
  <c r="E7" i="7" s="1"/>
  <c r="E8" i="7" s="1"/>
  <c r="E9" i="7" s="1"/>
  <c r="E10" i="7" s="1"/>
  <c r="G1" i="7"/>
  <c r="H1" i="7" s="1"/>
  <c r="I1" i="7" s="1"/>
  <c r="K12" i="3"/>
  <c r="J12" i="3"/>
  <c r="I12" i="3"/>
  <c r="H12" i="3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K3" i="3"/>
  <c r="J3" i="3"/>
  <c r="I3" i="3"/>
  <c r="H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I12" i="6"/>
  <c r="I13" i="6" s="1"/>
  <c r="I14" i="6" s="1"/>
  <c r="I15" i="6" s="1"/>
  <c r="I16" i="6" s="1"/>
  <c r="I17" i="6" s="1"/>
  <c r="I10" i="6"/>
  <c r="I11" i="6" s="1"/>
  <c r="I9" i="6"/>
  <c r="I8" i="6"/>
  <c r="B11" i="6"/>
  <c r="B3" i="6"/>
  <c r="K2" i="6"/>
  <c r="L2" i="6" s="1"/>
  <c r="M2" i="6" s="1"/>
  <c r="N2" i="6" s="1"/>
  <c r="C4" i="4"/>
  <c r="C3" i="5"/>
  <c r="I4" i="4" l="1"/>
  <c r="I5" i="4" s="1"/>
  <c r="I6" i="4" s="1"/>
  <c r="I7" i="4" s="1"/>
  <c r="I8" i="4" s="1"/>
  <c r="I9" i="4" s="1"/>
  <c r="I10" i="4" s="1"/>
  <c r="I11" i="4" s="1"/>
  <c r="I12" i="4" s="1"/>
  <c r="I13" i="4" s="1"/>
  <c r="K2" i="4"/>
  <c r="L2" i="4" s="1"/>
  <c r="M2" i="4" s="1"/>
  <c r="N2" i="4" s="1"/>
  <c r="H13" i="2"/>
  <c r="H12" i="2"/>
  <c r="H11" i="2"/>
  <c r="H10" i="2"/>
  <c r="H9" i="2"/>
  <c r="H8" i="2"/>
  <c r="H7" i="2"/>
  <c r="H6" i="2"/>
  <c r="H5" i="2"/>
  <c r="H4" i="2"/>
  <c r="E4" i="2"/>
  <c r="D4" i="2"/>
  <c r="C4" i="2"/>
  <c r="B4" i="2"/>
  <c r="A4" i="2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O3" i="1"/>
  <c r="O4" i="1" s="1"/>
  <c r="O5" i="1" s="1"/>
  <c r="O6" i="1" s="1"/>
  <c r="O7" i="1" s="1"/>
  <c r="O8" i="1" s="1"/>
  <c r="O9" i="1" s="1"/>
  <c r="O10" i="1" s="1"/>
  <c r="E3" i="1"/>
  <c r="D3" i="1"/>
  <c r="C3" i="1"/>
  <c r="B3" i="1"/>
  <c r="J1" i="1"/>
  <c r="K1" i="1" s="1"/>
  <c r="L1" i="1" s="1"/>
  <c r="M1" i="1" s="1"/>
  <c r="N3" i="3"/>
  <c r="N4" i="3" s="1"/>
  <c r="N5" i="3" s="1"/>
  <c r="N6" i="3" s="1"/>
  <c r="N7" i="3" s="1"/>
  <c r="N8" i="3" s="1"/>
  <c r="N9" i="3" s="1"/>
  <c r="N10" i="3" s="1"/>
  <c r="P1" i="3"/>
  <c r="Q1" i="3" s="1"/>
  <c r="R1" i="3" s="1"/>
  <c r="S1" i="3" s="1"/>
  <c r="P2" i="2"/>
  <c r="Q2" i="2" s="1"/>
  <c r="R2" i="2" s="1"/>
  <c r="S2" i="2" s="1"/>
  <c r="N4" i="2"/>
  <c r="N5" i="2" s="1"/>
  <c r="N6" i="2" s="1"/>
  <c r="N7" i="2" s="1"/>
  <c r="N8" i="2" s="1"/>
  <c r="N9" i="2" s="1"/>
  <c r="N10" i="2" s="1"/>
  <c r="N11" i="2" s="1"/>
  <c r="N12" i="2" s="1"/>
  <c r="N13" i="2" s="1"/>
  <c r="C8" i="5"/>
  <c r="C12" i="5"/>
  <c r="C4" i="5"/>
  <c r="C10" i="5"/>
  <c r="C11" i="5"/>
  <c r="C7" i="5"/>
  <c r="C6" i="5"/>
  <c r="C5" i="5"/>
  <c r="C9" i="5"/>
</calcChain>
</file>

<file path=xl/sharedStrings.xml><?xml version="1.0" encoding="utf-8"?>
<sst xmlns="http://schemas.openxmlformats.org/spreadsheetml/2006/main" count="261" uniqueCount="38">
  <si>
    <t>Product Name</t>
  </si>
  <si>
    <t>HS Code</t>
  </si>
  <si>
    <t>Seller Name</t>
  </si>
  <si>
    <t>Qty Sold</t>
  </si>
  <si>
    <t>Product ID</t>
  </si>
  <si>
    <t>IndexNumber</t>
  </si>
  <si>
    <t>HardDisk</t>
  </si>
  <si>
    <t>AP0101</t>
  </si>
  <si>
    <t>Ram Traders</t>
  </si>
  <si>
    <t>Microphone</t>
  </si>
  <si>
    <t>AP0102</t>
  </si>
  <si>
    <t>Rajesh</t>
  </si>
  <si>
    <t>Mobile Stand</t>
  </si>
  <si>
    <t>AP0103</t>
  </si>
  <si>
    <t>Shivam</t>
  </si>
  <si>
    <t>Laptop Stand</t>
  </si>
  <si>
    <t>AP0104</t>
  </si>
  <si>
    <t>Sethi</t>
  </si>
  <si>
    <t>Mic Holder</t>
  </si>
  <si>
    <t>AP0105</t>
  </si>
  <si>
    <t>Rahul</t>
  </si>
  <si>
    <t>Printer</t>
  </si>
  <si>
    <t>AP0106</t>
  </si>
  <si>
    <t>Aman</t>
  </si>
  <si>
    <t>Scanner</t>
  </si>
  <si>
    <t>AP0107</t>
  </si>
  <si>
    <t>Sohan</t>
  </si>
  <si>
    <t>Monitor</t>
  </si>
  <si>
    <t>AP0108</t>
  </si>
  <si>
    <t>Chandu</t>
  </si>
  <si>
    <t>Mouse</t>
  </si>
  <si>
    <t>AP0109</t>
  </si>
  <si>
    <t>Rohan</t>
  </si>
  <si>
    <t>Keyboard</t>
  </si>
  <si>
    <t>AP0110</t>
  </si>
  <si>
    <t>Sonu</t>
  </si>
  <si>
    <t>=MATCH(lookupValue,lookup_Arra,0)</t>
  </si>
  <si>
    <t>=XLOOKUP(Look_Value, look_Rage, Look_Array,ValueIf_Not_Found,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</si>
</sst>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ndara"/>
      <family val="2"/>
    </font>
    <font>
      <sz val="10"/>
      <color theme="0"/>
      <name val="Candara"/>
      <family val="2"/>
    </font>
    <font>
      <b/>
      <sz val="10"/>
      <color theme="1"/>
      <name val="Candara"/>
      <family val="2"/>
    </font>
    <font>
      <sz val="10"/>
      <color rgb="FFFFFFFF"/>
      <name val="Candara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Candara"/>
      <family val="2"/>
    </font>
    <font>
      <sz val="10"/>
      <color rgb="FF000000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D7D31"/>
        <bgColor rgb="FF000000"/>
      </patternFill>
    </fill>
    <fill>
      <patternFill patternType="solid">
        <fgColor rgb="FF9BC2E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/>
    <xf numFmtId="0" fontId="3" fillId="2" borderId="1" xfId="1" applyFont="1" applyBorder="1" applyAlignment="1">
      <alignment horizontal="center" vertical="center"/>
    </xf>
    <xf numFmtId="0" fontId="2" fillId="0" borderId="0" xfId="0" quotePrefix="1" applyFont="1" applyAlignment="1"/>
    <xf numFmtId="0" fontId="2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/>
    <xf numFmtId="0" fontId="6" fillId="0" borderId="0" xfId="0" applyFont="1"/>
    <xf numFmtId="0" fontId="5" fillId="4" borderId="3" xfId="0" applyFont="1" applyFill="1" applyBorder="1"/>
    <xf numFmtId="0" fontId="7" fillId="5" borderId="4" xfId="0" applyFont="1" applyFill="1" applyBorder="1"/>
    <xf numFmtId="0" fontId="8" fillId="0" borderId="5" xfId="0" applyFont="1" applyBorder="1"/>
    <xf numFmtId="0" fontId="2" fillId="0" borderId="2" xfId="0" quotePrefix="1" applyFont="1" applyBorder="1" applyAlignment="1">
      <alignment horizontal="left"/>
    </xf>
    <xf numFmtId="0" fontId="6" fillId="0" borderId="0" xfId="0" quotePrefix="1" applyFont="1" applyAlignment="1">
      <alignment horizontal="center" vertical="center"/>
    </xf>
    <xf numFmtId="0" fontId="0" fillId="0" borderId="0" xfId="0" applyBorder="1"/>
    <xf numFmtId="0" fontId="3" fillId="2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3"/>
  <sheetViews>
    <sheetView workbookViewId="0">
      <selection sqref="A1:XFD1048576"/>
    </sheetView>
  </sheetViews>
  <sheetFormatPr defaultRowHeight="13.8" x14ac:dyDescent="0.3"/>
  <cols>
    <col min="1" max="1" width="8.88671875" style="1"/>
    <col min="2" max="2" width="10.6640625" style="1" bestFit="1" customWidth="1"/>
    <col min="3" max="3" width="6.77734375" style="1" bestFit="1" customWidth="1"/>
    <col min="4" max="8" width="8.88671875" style="1"/>
    <col min="9" max="9" width="3" style="1" bestFit="1" customWidth="1"/>
    <col min="10" max="10" width="9.5546875" style="1" bestFit="1" customWidth="1"/>
    <col min="11" max="11" width="12.44140625" style="1" bestFit="1" customWidth="1"/>
    <col min="12" max="12" width="7.77734375" style="1" bestFit="1" customWidth="1"/>
    <col min="13" max="13" width="11" style="1" bestFit="1" customWidth="1"/>
    <col min="14" max="14" width="7.88671875" style="1" bestFit="1" customWidth="1"/>
    <col min="15" max="15" width="8.88671875" style="1"/>
    <col min="16" max="16" width="12" style="1" bestFit="1" customWidth="1"/>
    <col min="17" max="16384" width="8.88671875" style="1"/>
  </cols>
  <sheetData>
    <row r="2" spans="2:14" x14ac:dyDescent="0.3">
      <c r="J2" s="1">
        <v>1</v>
      </c>
      <c r="K2" s="1">
        <f>J2+1</f>
        <v>2</v>
      </c>
      <c r="L2" s="1">
        <f t="shared" ref="L2:N2" si="0">K2+1</f>
        <v>3</v>
      </c>
      <c r="M2" s="1">
        <f t="shared" si="0"/>
        <v>4</v>
      </c>
      <c r="N2" s="1">
        <f t="shared" si="0"/>
        <v>5</v>
      </c>
    </row>
    <row r="3" spans="2:14" x14ac:dyDescent="0.3">
      <c r="I3" s="1">
        <v>1</v>
      </c>
      <c r="J3" s="2" t="s">
        <v>4</v>
      </c>
      <c r="K3" s="2" t="s">
        <v>0</v>
      </c>
      <c r="L3" s="2" t="s">
        <v>1</v>
      </c>
      <c r="M3" s="2" t="s">
        <v>2</v>
      </c>
      <c r="N3" s="2" t="s">
        <v>3</v>
      </c>
    </row>
    <row r="4" spans="2:14" x14ac:dyDescent="0.3">
      <c r="B4" s="1" t="s">
        <v>2</v>
      </c>
      <c r="C4" s="1">
        <f>MATCH(B4,J3:N3)</f>
        <v>4</v>
      </c>
      <c r="I4" s="1">
        <f>I3+1</f>
        <v>2</v>
      </c>
      <c r="J4" s="5">
        <v>101</v>
      </c>
      <c r="K4" s="4" t="s">
        <v>6</v>
      </c>
      <c r="L4" s="4" t="s">
        <v>7</v>
      </c>
      <c r="M4" s="4" t="s">
        <v>8</v>
      </c>
      <c r="N4" s="4">
        <v>23</v>
      </c>
    </row>
    <row r="5" spans="2:14" x14ac:dyDescent="0.3">
      <c r="I5" s="1">
        <f t="shared" ref="I5:I13" si="1">I4+1</f>
        <v>3</v>
      </c>
      <c r="J5" s="5">
        <v>102</v>
      </c>
      <c r="K5" s="4" t="s">
        <v>9</v>
      </c>
      <c r="L5" s="4" t="s">
        <v>10</v>
      </c>
      <c r="M5" s="4" t="s">
        <v>11</v>
      </c>
      <c r="N5" s="4">
        <v>20</v>
      </c>
    </row>
    <row r="6" spans="2:14" x14ac:dyDescent="0.3">
      <c r="I6" s="1">
        <f t="shared" si="1"/>
        <v>4</v>
      </c>
      <c r="J6" s="5">
        <v>103</v>
      </c>
      <c r="K6" s="4" t="s">
        <v>12</v>
      </c>
      <c r="L6" s="4" t="s">
        <v>13</v>
      </c>
      <c r="M6" s="4" t="s">
        <v>14</v>
      </c>
      <c r="N6" s="4">
        <v>30</v>
      </c>
    </row>
    <row r="7" spans="2:14" x14ac:dyDescent="0.3">
      <c r="I7" s="1">
        <f t="shared" si="1"/>
        <v>5</v>
      </c>
      <c r="J7" s="5">
        <v>104</v>
      </c>
      <c r="K7" s="4" t="s">
        <v>15</v>
      </c>
      <c r="L7" s="4" t="s">
        <v>16</v>
      </c>
      <c r="M7" s="4" t="s">
        <v>17</v>
      </c>
      <c r="N7" s="4">
        <v>40</v>
      </c>
    </row>
    <row r="8" spans="2:14" x14ac:dyDescent="0.3">
      <c r="I8" s="1">
        <f t="shared" si="1"/>
        <v>6</v>
      </c>
      <c r="J8" s="5">
        <v>105</v>
      </c>
      <c r="K8" s="4" t="s">
        <v>18</v>
      </c>
      <c r="L8" s="4" t="s">
        <v>19</v>
      </c>
      <c r="M8" s="4" t="s">
        <v>20</v>
      </c>
      <c r="N8" s="4">
        <v>34</v>
      </c>
    </row>
    <row r="9" spans="2:14" x14ac:dyDescent="0.3">
      <c r="I9" s="1">
        <f t="shared" si="1"/>
        <v>7</v>
      </c>
      <c r="J9" s="5">
        <v>106</v>
      </c>
      <c r="K9" s="4" t="s">
        <v>21</v>
      </c>
      <c r="L9" s="4" t="s">
        <v>22</v>
      </c>
      <c r="M9" s="4" t="s">
        <v>23</v>
      </c>
      <c r="N9" s="4">
        <v>54</v>
      </c>
    </row>
    <row r="10" spans="2:14" x14ac:dyDescent="0.3">
      <c r="I10" s="1">
        <f t="shared" si="1"/>
        <v>8</v>
      </c>
      <c r="J10" s="5">
        <v>107</v>
      </c>
      <c r="K10" s="4" t="s">
        <v>24</v>
      </c>
      <c r="L10" s="4" t="s">
        <v>25</v>
      </c>
      <c r="M10" s="4" t="s">
        <v>26</v>
      </c>
      <c r="N10" s="4">
        <v>30</v>
      </c>
    </row>
    <row r="11" spans="2:14" x14ac:dyDescent="0.3">
      <c r="I11" s="1">
        <f t="shared" si="1"/>
        <v>9</v>
      </c>
      <c r="J11" s="5">
        <v>108</v>
      </c>
      <c r="K11" s="4" t="s">
        <v>27</v>
      </c>
      <c r="L11" s="4" t="s">
        <v>28</v>
      </c>
      <c r="M11" s="4" t="s">
        <v>29</v>
      </c>
      <c r="N11" s="4">
        <v>10</v>
      </c>
    </row>
    <row r="12" spans="2:14" x14ac:dyDescent="0.3">
      <c r="I12" s="1">
        <f t="shared" si="1"/>
        <v>10</v>
      </c>
      <c r="J12" s="5">
        <v>109</v>
      </c>
      <c r="K12" s="4" t="s">
        <v>30</v>
      </c>
      <c r="L12" s="4" t="s">
        <v>31</v>
      </c>
      <c r="M12" s="4" t="s">
        <v>32</v>
      </c>
      <c r="N12" s="4">
        <v>20</v>
      </c>
    </row>
    <row r="13" spans="2:14" x14ac:dyDescent="0.3">
      <c r="I13" s="1">
        <f t="shared" si="1"/>
        <v>11</v>
      </c>
      <c r="J13" s="5">
        <v>110</v>
      </c>
      <c r="K13" s="4" t="s">
        <v>33</v>
      </c>
      <c r="L13" s="4" t="s">
        <v>34</v>
      </c>
      <c r="M13" s="4" t="s">
        <v>35</v>
      </c>
      <c r="N13" s="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B3" sqref="B3"/>
    </sheetView>
  </sheetViews>
  <sheetFormatPr defaultRowHeight="13.8" x14ac:dyDescent="0.3"/>
  <cols>
    <col min="1" max="1" width="12.44140625" style="1" bestFit="1" customWidth="1"/>
    <col min="2" max="2" width="10.6640625" style="1" bestFit="1" customWidth="1"/>
    <col min="3" max="3" width="6.77734375" style="1" bestFit="1" customWidth="1"/>
    <col min="4" max="8" width="8.88671875" style="1"/>
    <col min="9" max="9" width="3" style="1" bestFit="1" customWidth="1"/>
    <col min="10" max="10" width="9.5546875" style="1" bestFit="1" customWidth="1"/>
    <col min="11" max="11" width="12.44140625" style="1" bestFit="1" customWidth="1"/>
    <col min="12" max="12" width="7.77734375" style="1" bestFit="1" customWidth="1"/>
    <col min="13" max="13" width="11" style="1" bestFit="1" customWidth="1"/>
    <col min="14" max="14" width="7.88671875" style="1" bestFit="1" customWidth="1"/>
    <col min="15" max="15" width="8.88671875" style="1"/>
    <col min="16" max="16" width="12" style="1" bestFit="1" customWidth="1"/>
    <col min="17" max="16384" width="8.88671875" style="1"/>
  </cols>
  <sheetData>
    <row r="2" spans="1:14" x14ac:dyDescent="0.3">
      <c r="J2" s="1">
        <v>1</v>
      </c>
      <c r="K2" s="1">
        <f>J2+1</f>
        <v>2</v>
      </c>
      <c r="L2" s="1">
        <f t="shared" ref="L2:N2" si="0">K2+1</f>
        <v>3</v>
      </c>
      <c r="M2" s="1">
        <f t="shared" si="0"/>
        <v>4</v>
      </c>
      <c r="N2" s="1">
        <f t="shared" si="0"/>
        <v>5</v>
      </c>
    </row>
    <row r="3" spans="1:14" x14ac:dyDescent="0.3">
      <c r="A3" s="1" t="s">
        <v>3</v>
      </c>
      <c r="B3" s="1">
        <f>MATCH(A3,J3:N3,0)</f>
        <v>5</v>
      </c>
      <c r="J3" s="2" t="s">
        <v>4</v>
      </c>
      <c r="K3" s="2" t="s">
        <v>0</v>
      </c>
      <c r="L3" s="2" t="s">
        <v>1</v>
      </c>
      <c r="M3" s="2" t="s">
        <v>2</v>
      </c>
      <c r="N3" s="2" t="s">
        <v>3</v>
      </c>
    </row>
    <row r="7" spans="1:14" x14ac:dyDescent="0.3">
      <c r="I7" s="1">
        <v>1</v>
      </c>
      <c r="J7" s="2" t="s">
        <v>4</v>
      </c>
    </row>
    <row r="8" spans="1:14" x14ac:dyDescent="0.3">
      <c r="I8" s="1">
        <f>I7+1</f>
        <v>2</v>
      </c>
      <c r="J8" s="5">
        <v>101</v>
      </c>
    </row>
    <row r="9" spans="1:14" x14ac:dyDescent="0.3">
      <c r="I9" s="1">
        <f t="shared" ref="I9:I17" si="1">I8+1</f>
        <v>3</v>
      </c>
      <c r="J9" s="5">
        <v>102</v>
      </c>
    </row>
    <row r="10" spans="1:14" x14ac:dyDescent="0.3">
      <c r="I10" s="1">
        <f t="shared" si="1"/>
        <v>4</v>
      </c>
      <c r="J10" s="5">
        <v>103</v>
      </c>
    </row>
    <row r="11" spans="1:14" x14ac:dyDescent="0.3">
      <c r="A11" s="1">
        <v>104</v>
      </c>
      <c r="B11" s="1">
        <f>MATCH(A11,J7:J17,0)</f>
        <v>5</v>
      </c>
      <c r="I11" s="1">
        <f t="shared" si="1"/>
        <v>5</v>
      </c>
      <c r="J11" s="5">
        <v>104</v>
      </c>
    </row>
    <row r="12" spans="1:14" x14ac:dyDescent="0.3">
      <c r="I12" s="1">
        <f t="shared" si="1"/>
        <v>6</v>
      </c>
      <c r="J12" s="5">
        <v>105</v>
      </c>
    </row>
    <row r="13" spans="1:14" x14ac:dyDescent="0.3">
      <c r="I13" s="1">
        <f t="shared" si="1"/>
        <v>7</v>
      </c>
      <c r="J13" s="5">
        <v>106</v>
      </c>
    </row>
    <row r="14" spans="1:14" x14ac:dyDescent="0.3">
      <c r="I14" s="1">
        <f t="shared" si="1"/>
        <v>8</v>
      </c>
      <c r="J14" s="5">
        <v>107</v>
      </c>
    </row>
    <row r="15" spans="1:14" x14ac:dyDescent="0.3">
      <c r="I15" s="1">
        <f t="shared" si="1"/>
        <v>9</v>
      </c>
      <c r="J15" s="5">
        <v>108</v>
      </c>
    </row>
    <row r="16" spans="1:14" x14ac:dyDescent="0.3">
      <c r="I16" s="1">
        <f t="shared" si="1"/>
        <v>10</v>
      </c>
      <c r="J16" s="5">
        <v>109</v>
      </c>
    </row>
    <row r="17" spans="9:10" x14ac:dyDescent="0.3">
      <c r="I17" s="1">
        <f t="shared" si="1"/>
        <v>11</v>
      </c>
      <c r="J17" s="5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selection activeCell="G3" sqref="G3:G13"/>
    </sheetView>
  </sheetViews>
  <sheetFormatPr defaultRowHeight="13.8" x14ac:dyDescent="0.3"/>
  <cols>
    <col min="1" max="1" width="12" style="1" bestFit="1" customWidth="1"/>
    <col min="2" max="2" width="12.44140625" style="1" bestFit="1" customWidth="1"/>
    <col min="3" max="3" width="7.77734375" style="1" bestFit="1" customWidth="1"/>
    <col min="4" max="4" width="10.6640625" style="1" bestFit="1" customWidth="1"/>
    <col min="5" max="5" width="7.88671875" style="1" bestFit="1" customWidth="1"/>
    <col min="6" max="13" width="8.88671875" style="1"/>
    <col min="14" max="14" width="3" style="1" bestFit="1" customWidth="1"/>
    <col min="15" max="15" width="9.5546875" style="1" bestFit="1" customWidth="1"/>
    <col min="16" max="16" width="12.44140625" style="1" bestFit="1" customWidth="1"/>
    <col min="17" max="17" width="7.77734375" style="1" bestFit="1" customWidth="1"/>
    <col min="18" max="18" width="11" style="1" bestFit="1" customWidth="1"/>
    <col min="19" max="19" width="7.88671875" style="1" bestFit="1" customWidth="1"/>
    <col min="20" max="20" width="8.88671875" style="1"/>
    <col min="21" max="21" width="12" style="1" bestFit="1" customWidth="1"/>
    <col min="22" max="16384" width="8.88671875" style="1"/>
  </cols>
  <sheetData>
    <row r="1" spans="1:19" x14ac:dyDescent="0.3">
      <c r="A1" s="3" t="s">
        <v>5</v>
      </c>
    </row>
    <row r="2" spans="1:19" x14ac:dyDescent="0.3">
      <c r="A2" s="11" t="s">
        <v>36</v>
      </c>
      <c r="B2" s="11"/>
      <c r="C2" s="11"/>
      <c r="D2" s="11"/>
      <c r="E2" s="11"/>
      <c r="O2" s="1">
        <v>1</v>
      </c>
      <c r="P2" s="1">
        <f>O2+1</f>
        <v>2</v>
      </c>
      <c r="Q2" s="1">
        <f t="shared" ref="Q2:S2" si="0">P2+1</f>
        <v>3</v>
      </c>
      <c r="R2" s="1">
        <f t="shared" si="0"/>
        <v>4</v>
      </c>
      <c r="S2" s="1">
        <f t="shared" si="0"/>
        <v>5</v>
      </c>
    </row>
    <row r="3" spans="1:19" x14ac:dyDescent="0.3">
      <c r="A3" s="2" t="s">
        <v>1</v>
      </c>
      <c r="B3" s="2" t="s">
        <v>0</v>
      </c>
      <c r="C3" s="2" t="s">
        <v>1</v>
      </c>
      <c r="D3" s="2" t="s">
        <v>2</v>
      </c>
      <c r="E3" s="2" t="s">
        <v>3</v>
      </c>
      <c r="G3" s="2" t="s">
        <v>4</v>
      </c>
      <c r="N3" s="1">
        <v>1</v>
      </c>
      <c r="O3" s="2" t="s">
        <v>4</v>
      </c>
      <c r="P3" s="2" t="s">
        <v>0</v>
      </c>
      <c r="Q3" s="2" t="s">
        <v>1</v>
      </c>
      <c r="R3" s="2" t="s">
        <v>2</v>
      </c>
      <c r="S3" s="2" t="s">
        <v>3</v>
      </c>
    </row>
    <row r="4" spans="1:19" x14ac:dyDescent="0.3">
      <c r="A4" s="1">
        <f>MATCH(A3,$O$3:$S$3,0)</f>
        <v>3</v>
      </c>
      <c r="B4" s="1">
        <f t="shared" ref="B4:E4" si="1">MATCH(B3,$O$3:$S$3,0)</f>
        <v>2</v>
      </c>
      <c r="C4" s="1">
        <f t="shared" si="1"/>
        <v>3</v>
      </c>
      <c r="D4" s="1">
        <f t="shared" si="1"/>
        <v>4</v>
      </c>
      <c r="E4" s="1">
        <f t="shared" si="1"/>
        <v>5</v>
      </c>
      <c r="G4" s="5">
        <v>101</v>
      </c>
      <c r="H4" s="1">
        <f>MATCH(G4,$O$3:$O$13)</f>
        <v>2</v>
      </c>
      <c r="N4" s="1">
        <f>N3+1</f>
        <v>2</v>
      </c>
      <c r="O4" s="5">
        <v>101</v>
      </c>
      <c r="P4" s="4" t="s">
        <v>6</v>
      </c>
      <c r="Q4" s="4" t="s">
        <v>7</v>
      </c>
      <c r="R4" s="4" t="s">
        <v>8</v>
      </c>
      <c r="S4" s="4">
        <v>23</v>
      </c>
    </row>
    <row r="5" spans="1:19" x14ac:dyDescent="0.3">
      <c r="G5" s="5">
        <v>102</v>
      </c>
      <c r="H5" s="1">
        <f t="shared" ref="H5:H13" si="2">MATCH(G5,$O$3:$O$13)</f>
        <v>3</v>
      </c>
      <c r="N5" s="1">
        <f t="shared" ref="N5:N13" si="3">N4+1</f>
        <v>3</v>
      </c>
      <c r="O5" s="5">
        <v>102</v>
      </c>
      <c r="P5" s="4" t="s">
        <v>9</v>
      </c>
      <c r="Q5" s="4" t="s">
        <v>10</v>
      </c>
      <c r="R5" s="4" t="s">
        <v>11</v>
      </c>
      <c r="S5" s="4">
        <v>20</v>
      </c>
    </row>
    <row r="6" spans="1:19" x14ac:dyDescent="0.3">
      <c r="G6" s="5">
        <v>103</v>
      </c>
      <c r="H6" s="1">
        <f t="shared" si="2"/>
        <v>4</v>
      </c>
      <c r="N6" s="1">
        <f t="shared" si="3"/>
        <v>4</v>
      </c>
      <c r="O6" s="5">
        <v>103</v>
      </c>
      <c r="P6" s="4" t="s">
        <v>12</v>
      </c>
      <c r="Q6" s="4" t="s">
        <v>13</v>
      </c>
      <c r="R6" s="4" t="s">
        <v>14</v>
      </c>
      <c r="S6" s="4">
        <v>30</v>
      </c>
    </row>
    <row r="7" spans="1:19" x14ac:dyDescent="0.3">
      <c r="G7" s="5">
        <v>104</v>
      </c>
      <c r="H7" s="1">
        <f t="shared" si="2"/>
        <v>5</v>
      </c>
      <c r="N7" s="1">
        <f t="shared" si="3"/>
        <v>5</v>
      </c>
      <c r="O7" s="5">
        <v>104</v>
      </c>
      <c r="P7" s="4" t="s">
        <v>15</v>
      </c>
      <c r="Q7" s="4" t="s">
        <v>16</v>
      </c>
      <c r="R7" s="4" t="s">
        <v>17</v>
      </c>
      <c r="S7" s="4">
        <v>40</v>
      </c>
    </row>
    <row r="8" spans="1:19" x14ac:dyDescent="0.3">
      <c r="G8" s="5">
        <v>105</v>
      </c>
      <c r="H8" s="1">
        <f t="shared" si="2"/>
        <v>6</v>
      </c>
      <c r="N8" s="1">
        <f t="shared" si="3"/>
        <v>6</v>
      </c>
      <c r="O8" s="5">
        <v>105</v>
      </c>
      <c r="P8" s="4" t="s">
        <v>18</v>
      </c>
      <c r="Q8" s="4" t="s">
        <v>19</v>
      </c>
      <c r="R8" s="4" t="s">
        <v>20</v>
      </c>
      <c r="S8" s="4">
        <v>34</v>
      </c>
    </row>
    <row r="9" spans="1:19" x14ac:dyDescent="0.3">
      <c r="G9" s="5">
        <v>106</v>
      </c>
      <c r="H9" s="1">
        <f t="shared" si="2"/>
        <v>7</v>
      </c>
      <c r="N9" s="1">
        <f t="shared" si="3"/>
        <v>7</v>
      </c>
      <c r="O9" s="5">
        <v>106</v>
      </c>
      <c r="P9" s="4" t="s">
        <v>21</v>
      </c>
      <c r="Q9" s="4" t="s">
        <v>22</v>
      </c>
      <c r="R9" s="4" t="s">
        <v>23</v>
      </c>
      <c r="S9" s="4">
        <v>54</v>
      </c>
    </row>
    <row r="10" spans="1:19" x14ac:dyDescent="0.3">
      <c r="G10" s="5">
        <v>107</v>
      </c>
      <c r="H10" s="1">
        <f t="shared" si="2"/>
        <v>8</v>
      </c>
      <c r="N10" s="1">
        <f t="shared" si="3"/>
        <v>8</v>
      </c>
      <c r="O10" s="5">
        <v>107</v>
      </c>
      <c r="P10" s="4" t="s">
        <v>24</v>
      </c>
      <c r="Q10" s="4" t="s">
        <v>25</v>
      </c>
      <c r="R10" s="4" t="s">
        <v>26</v>
      </c>
      <c r="S10" s="4">
        <v>30</v>
      </c>
    </row>
    <row r="11" spans="1:19" x14ac:dyDescent="0.3">
      <c r="G11" s="5">
        <v>108</v>
      </c>
      <c r="H11" s="1">
        <f t="shared" si="2"/>
        <v>9</v>
      </c>
      <c r="N11" s="1">
        <f t="shared" si="3"/>
        <v>9</v>
      </c>
      <c r="O11" s="5">
        <v>108</v>
      </c>
      <c r="P11" s="4" t="s">
        <v>27</v>
      </c>
      <c r="Q11" s="4" t="s">
        <v>28</v>
      </c>
      <c r="R11" s="4" t="s">
        <v>29</v>
      </c>
      <c r="S11" s="4">
        <v>10</v>
      </c>
    </row>
    <row r="12" spans="1:19" x14ac:dyDescent="0.3">
      <c r="G12" s="5">
        <v>109</v>
      </c>
      <c r="H12" s="1">
        <f t="shared" si="2"/>
        <v>10</v>
      </c>
      <c r="N12" s="1">
        <f t="shared" si="3"/>
        <v>10</v>
      </c>
      <c r="O12" s="5">
        <v>109</v>
      </c>
      <c r="P12" s="4" t="s">
        <v>30</v>
      </c>
      <c r="Q12" s="4" t="s">
        <v>31</v>
      </c>
      <c r="R12" s="4" t="s">
        <v>32</v>
      </c>
      <c r="S12" s="4">
        <v>20</v>
      </c>
    </row>
    <row r="13" spans="1:19" x14ac:dyDescent="0.3">
      <c r="G13" s="5">
        <v>110</v>
      </c>
      <c r="H13" s="1">
        <f t="shared" si="2"/>
        <v>11</v>
      </c>
      <c r="N13" s="1">
        <f t="shared" si="3"/>
        <v>11</v>
      </c>
      <c r="O13" s="5">
        <v>110</v>
      </c>
      <c r="P13" s="4" t="s">
        <v>33</v>
      </c>
      <c r="Q13" s="4" t="s">
        <v>34</v>
      </c>
      <c r="R13" s="4" t="s">
        <v>35</v>
      </c>
      <c r="S13" s="4">
        <v>25</v>
      </c>
    </row>
  </sheetData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selection activeCell="N1" sqref="N1:S10"/>
    </sheetView>
  </sheetViews>
  <sheetFormatPr defaultRowHeight="13.8" x14ac:dyDescent="0.3"/>
  <cols>
    <col min="1" max="1" width="9.5546875" style="1" bestFit="1" customWidth="1"/>
    <col min="2" max="2" width="12.44140625" style="1" bestFit="1" customWidth="1"/>
    <col min="3" max="3" width="7.77734375" style="1" bestFit="1" customWidth="1"/>
    <col min="4" max="4" width="11" style="1" bestFit="1" customWidth="1"/>
    <col min="5" max="5" width="7.88671875" style="1" bestFit="1" customWidth="1"/>
    <col min="6" max="13" width="8.88671875" style="1"/>
    <col min="14" max="14" width="3" style="1" bestFit="1" customWidth="1"/>
    <col min="15" max="15" width="9.5546875" style="1" bestFit="1" customWidth="1"/>
    <col min="16" max="16" width="12.44140625" style="1" bestFit="1" customWidth="1"/>
    <col min="17" max="17" width="7.77734375" style="1" bestFit="1" customWidth="1"/>
    <col min="18" max="18" width="11" style="1" bestFit="1" customWidth="1"/>
    <col min="19" max="19" width="7.88671875" style="1" bestFit="1" customWidth="1"/>
    <col min="20" max="20" width="8.88671875" style="1"/>
    <col min="21" max="21" width="12" style="1" bestFit="1" customWidth="1"/>
    <col min="22" max="16384" width="8.88671875" style="1"/>
  </cols>
  <sheetData>
    <row r="1" spans="1:19" x14ac:dyDescent="0.3">
      <c r="O1" s="1">
        <v>1</v>
      </c>
      <c r="P1" s="1">
        <f>O1+1</f>
        <v>2</v>
      </c>
      <c r="Q1" s="1">
        <f t="shared" ref="Q1:S1" si="0">P1+1</f>
        <v>3</v>
      </c>
      <c r="R1" s="1">
        <f t="shared" si="0"/>
        <v>4</v>
      </c>
      <c r="S1" s="1">
        <f t="shared" si="0"/>
        <v>5</v>
      </c>
    </row>
    <row r="2" spans="1:19" x14ac:dyDescent="0.3">
      <c r="A2" s="2" t="s">
        <v>4</v>
      </c>
      <c r="B2" s="2" t="s">
        <v>0</v>
      </c>
      <c r="C2" s="2" t="s">
        <v>1</v>
      </c>
      <c r="D2" s="2" t="s">
        <v>2</v>
      </c>
      <c r="E2" s="2" t="s">
        <v>3</v>
      </c>
      <c r="G2" s="2" t="s">
        <v>4</v>
      </c>
      <c r="H2" s="2" t="s">
        <v>0</v>
      </c>
      <c r="I2" s="2" t="s">
        <v>1</v>
      </c>
      <c r="J2" s="2" t="s">
        <v>2</v>
      </c>
      <c r="K2" s="2" t="s">
        <v>3</v>
      </c>
      <c r="N2" s="1">
        <v>1</v>
      </c>
      <c r="O2" s="2" t="s">
        <v>4</v>
      </c>
      <c r="P2" s="2" t="s">
        <v>0</v>
      </c>
      <c r="Q2" s="2" t="s">
        <v>1</v>
      </c>
      <c r="R2" s="2" t="s">
        <v>2</v>
      </c>
      <c r="S2" s="2" t="s">
        <v>3</v>
      </c>
    </row>
    <row r="3" spans="1:19" x14ac:dyDescent="0.3">
      <c r="A3" s="4">
        <v>101</v>
      </c>
      <c r="B3" s="1" t="str">
        <f t="shared" ref="B3:E12" si="1">INDEX($O$2:$S$10,MATCH($A3,$O$2:$O$10,0),MATCH(B$2,$O$2:$S$2,0))</f>
        <v>HardDisk</v>
      </c>
      <c r="C3" s="1" t="str">
        <f t="shared" si="1"/>
        <v>AP0101</v>
      </c>
      <c r="D3" s="1" t="str">
        <f t="shared" si="1"/>
        <v>Ram Traders</v>
      </c>
      <c r="E3" s="1">
        <f t="shared" si="1"/>
        <v>23</v>
      </c>
      <c r="G3" s="4">
        <v>101</v>
      </c>
      <c r="H3" s="1" t="str">
        <f>MATCH($G3,$O$2:$O$10,0)&amp;"__"&amp;MATCH(H$2,$O$2:$S$2,0)</f>
        <v>2__2</v>
      </c>
      <c r="I3" s="1" t="str">
        <f t="shared" ref="I3:K12" si="2">MATCH($G3,$O$2:$O$10,0)&amp;"__"&amp;MATCH(I$2,$O$2:$S$2,0)</f>
        <v>2__3</v>
      </c>
      <c r="J3" s="1" t="str">
        <f t="shared" si="2"/>
        <v>2__4</v>
      </c>
      <c r="K3" s="1" t="str">
        <f t="shared" si="2"/>
        <v>2__5</v>
      </c>
      <c r="N3" s="1">
        <f>N2+1</f>
        <v>2</v>
      </c>
      <c r="O3" s="5">
        <v>101</v>
      </c>
      <c r="P3" s="4" t="s">
        <v>6</v>
      </c>
      <c r="Q3" s="4" t="s">
        <v>7</v>
      </c>
      <c r="R3" s="4" t="s">
        <v>8</v>
      </c>
      <c r="S3" s="4">
        <v>23</v>
      </c>
    </row>
    <row r="4" spans="1:19" x14ac:dyDescent="0.3">
      <c r="A4" s="4">
        <v>102</v>
      </c>
      <c r="B4" s="1" t="str">
        <f t="shared" si="1"/>
        <v>Microphone</v>
      </c>
      <c r="C4" s="1" t="str">
        <f t="shared" si="1"/>
        <v>AP0102</v>
      </c>
      <c r="D4" s="1" t="str">
        <f t="shared" si="1"/>
        <v>Rajesh</v>
      </c>
      <c r="E4" s="1">
        <f t="shared" si="1"/>
        <v>20</v>
      </c>
      <c r="G4" s="4">
        <v>102</v>
      </c>
      <c r="H4" s="1" t="str">
        <f t="shared" ref="H4:H12" si="3">MATCH($G4,$O$2:$O$10,0)&amp;"__"&amp;MATCH(H$2,$O$2:$S$2,0)</f>
        <v>3__2</v>
      </c>
      <c r="I4" s="1" t="str">
        <f t="shared" si="2"/>
        <v>3__3</v>
      </c>
      <c r="J4" s="1" t="str">
        <f t="shared" si="2"/>
        <v>3__4</v>
      </c>
      <c r="K4" s="1" t="str">
        <f t="shared" si="2"/>
        <v>3__5</v>
      </c>
      <c r="N4" s="1">
        <f t="shared" ref="N4:N10" si="4">N3+1</f>
        <v>3</v>
      </c>
      <c r="O4" s="5">
        <v>102</v>
      </c>
      <c r="P4" s="4" t="s">
        <v>9</v>
      </c>
      <c r="Q4" s="4" t="s">
        <v>10</v>
      </c>
      <c r="R4" s="4" t="s">
        <v>11</v>
      </c>
      <c r="S4" s="4">
        <v>20</v>
      </c>
    </row>
    <row r="5" spans="1:19" x14ac:dyDescent="0.3">
      <c r="A5" s="4">
        <v>103</v>
      </c>
      <c r="B5" s="1" t="str">
        <f t="shared" si="1"/>
        <v>Mobile Stand</v>
      </c>
      <c r="C5" s="1" t="str">
        <f t="shared" si="1"/>
        <v>AP0103</v>
      </c>
      <c r="D5" s="1" t="str">
        <f t="shared" si="1"/>
        <v>Shivam</v>
      </c>
      <c r="E5" s="1">
        <f t="shared" si="1"/>
        <v>30</v>
      </c>
      <c r="G5" s="4">
        <v>103</v>
      </c>
      <c r="H5" s="1" t="str">
        <f t="shared" si="3"/>
        <v>4__2</v>
      </c>
      <c r="I5" s="1" t="str">
        <f t="shared" si="2"/>
        <v>4__3</v>
      </c>
      <c r="J5" s="1" t="str">
        <f t="shared" si="2"/>
        <v>4__4</v>
      </c>
      <c r="K5" s="1" t="str">
        <f t="shared" si="2"/>
        <v>4__5</v>
      </c>
      <c r="N5" s="1">
        <f t="shared" si="4"/>
        <v>4</v>
      </c>
      <c r="O5" s="5">
        <v>103</v>
      </c>
      <c r="P5" s="4" t="s">
        <v>12</v>
      </c>
      <c r="Q5" s="4" t="s">
        <v>13</v>
      </c>
      <c r="R5" s="4" t="s">
        <v>14</v>
      </c>
      <c r="S5" s="4">
        <v>30</v>
      </c>
    </row>
    <row r="6" spans="1:19" x14ac:dyDescent="0.3">
      <c r="A6" s="4">
        <v>104</v>
      </c>
      <c r="B6" s="1" t="str">
        <f t="shared" si="1"/>
        <v>Laptop Stand</v>
      </c>
      <c r="C6" s="1" t="str">
        <f t="shared" si="1"/>
        <v>AP0104</v>
      </c>
      <c r="D6" s="1" t="str">
        <f t="shared" si="1"/>
        <v>Sethi</v>
      </c>
      <c r="E6" s="1">
        <f t="shared" si="1"/>
        <v>40</v>
      </c>
      <c r="G6" s="4">
        <v>104</v>
      </c>
      <c r="H6" s="1" t="str">
        <f t="shared" si="3"/>
        <v>5__2</v>
      </c>
      <c r="I6" s="1" t="str">
        <f t="shared" si="2"/>
        <v>5__3</v>
      </c>
      <c r="J6" s="1" t="str">
        <f t="shared" si="2"/>
        <v>5__4</v>
      </c>
      <c r="K6" s="1" t="str">
        <f t="shared" si="2"/>
        <v>5__5</v>
      </c>
      <c r="N6" s="1">
        <f t="shared" si="4"/>
        <v>5</v>
      </c>
      <c r="O6" s="5">
        <v>104</v>
      </c>
      <c r="P6" s="4" t="s">
        <v>15</v>
      </c>
      <c r="Q6" s="4" t="s">
        <v>16</v>
      </c>
      <c r="R6" s="4" t="s">
        <v>17</v>
      </c>
      <c r="S6" s="4">
        <v>40</v>
      </c>
    </row>
    <row r="7" spans="1:19" x14ac:dyDescent="0.3">
      <c r="A7" s="4">
        <v>105</v>
      </c>
      <c r="B7" s="1" t="str">
        <f t="shared" si="1"/>
        <v>Mic Holder</v>
      </c>
      <c r="C7" s="1" t="str">
        <f t="shared" si="1"/>
        <v>AP0105</v>
      </c>
      <c r="D7" s="1" t="str">
        <f t="shared" si="1"/>
        <v>Rahul</v>
      </c>
      <c r="E7" s="1">
        <f t="shared" si="1"/>
        <v>34</v>
      </c>
      <c r="G7" s="4">
        <v>105</v>
      </c>
      <c r="H7" s="1" t="str">
        <f t="shared" si="3"/>
        <v>6__2</v>
      </c>
      <c r="I7" s="1" t="str">
        <f t="shared" si="2"/>
        <v>6__3</v>
      </c>
      <c r="J7" s="1" t="str">
        <f t="shared" si="2"/>
        <v>6__4</v>
      </c>
      <c r="K7" s="1" t="str">
        <f t="shared" si="2"/>
        <v>6__5</v>
      </c>
      <c r="N7" s="1">
        <f t="shared" si="4"/>
        <v>6</v>
      </c>
      <c r="O7" s="5">
        <v>105</v>
      </c>
      <c r="P7" s="4" t="s">
        <v>18</v>
      </c>
      <c r="Q7" s="4" t="s">
        <v>19</v>
      </c>
      <c r="R7" s="4" t="s">
        <v>20</v>
      </c>
      <c r="S7" s="4">
        <v>34</v>
      </c>
    </row>
    <row r="8" spans="1:19" x14ac:dyDescent="0.3">
      <c r="A8" s="4">
        <v>106</v>
      </c>
      <c r="B8" s="1" t="str">
        <f t="shared" si="1"/>
        <v>Printer</v>
      </c>
      <c r="C8" s="1" t="str">
        <f t="shared" si="1"/>
        <v>AP0106</v>
      </c>
      <c r="D8" s="1" t="str">
        <f t="shared" si="1"/>
        <v>Aman</v>
      </c>
      <c r="E8" s="1">
        <f t="shared" si="1"/>
        <v>54</v>
      </c>
      <c r="G8" s="4">
        <v>106</v>
      </c>
      <c r="H8" s="1" t="str">
        <f t="shared" si="3"/>
        <v>7__2</v>
      </c>
      <c r="I8" s="1" t="str">
        <f t="shared" si="2"/>
        <v>7__3</v>
      </c>
      <c r="J8" s="1" t="str">
        <f t="shared" si="2"/>
        <v>7__4</v>
      </c>
      <c r="K8" s="1" t="str">
        <f t="shared" si="2"/>
        <v>7__5</v>
      </c>
      <c r="N8" s="1">
        <f t="shared" si="4"/>
        <v>7</v>
      </c>
      <c r="O8" s="5">
        <v>106</v>
      </c>
      <c r="P8" s="4" t="s">
        <v>21</v>
      </c>
      <c r="Q8" s="4" t="s">
        <v>22</v>
      </c>
      <c r="R8" s="4" t="s">
        <v>23</v>
      </c>
      <c r="S8" s="4">
        <v>54</v>
      </c>
    </row>
    <row r="9" spans="1:19" x14ac:dyDescent="0.3">
      <c r="A9" s="4">
        <v>107</v>
      </c>
      <c r="B9" s="1" t="str">
        <f t="shared" si="1"/>
        <v>Scanner</v>
      </c>
      <c r="C9" s="1" t="str">
        <f t="shared" si="1"/>
        <v>AP0107</v>
      </c>
      <c r="D9" s="1" t="str">
        <f t="shared" si="1"/>
        <v>Sohan</v>
      </c>
      <c r="E9" s="1">
        <f t="shared" si="1"/>
        <v>30</v>
      </c>
      <c r="G9" s="4">
        <v>107</v>
      </c>
      <c r="H9" s="1" t="str">
        <f t="shared" si="3"/>
        <v>8__2</v>
      </c>
      <c r="I9" s="1" t="str">
        <f t="shared" si="2"/>
        <v>8__3</v>
      </c>
      <c r="J9" s="1" t="str">
        <f t="shared" si="2"/>
        <v>8__4</v>
      </c>
      <c r="K9" s="1" t="str">
        <f t="shared" si="2"/>
        <v>8__5</v>
      </c>
      <c r="N9" s="1">
        <f t="shared" si="4"/>
        <v>8</v>
      </c>
      <c r="O9" s="5">
        <v>107</v>
      </c>
      <c r="P9" s="4" t="s">
        <v>24</v>
      </c>
      <c r="Q9" s="4" t="s">
        <v>25</v>
      </c>
      <c r="R9" s="4" t="s">
        <v>26</v>
      </c>
      <c r="S9" s="4">
        <v>30</v>
      </c>
    </row>
    <row r="10" spans="1:19" x14ac:dyDescent="0.3">
      <c r="A10" s="4">
        <v>108</v>
      </c>
      <c r="B10" s="1" t="str">
        <f t="shared" si="1"/>
        <v>Monitor</v>
      </c>
      <c r="C10" s="1" t="str">
        <f t="shared" si="1"/>
        <v>AP0108</v>
      </c>
      <c r="D10" s="1" t="str">
        <f t="shared" si="1"/>
        <v>Chandu</v>
      </c>
      <c r="E10" s="1">
        <f t="shared" si="1"/>
        <v>10</v>
      </c>
      <c r="G10" s="4">
        <v>108</v>
      </c>
      <c r="H10" s="1" t="str">
        <f t="shared" si="3"/>
        <v>9__2</v>
      </c>
      <c r="I10" s="1" t="str">
        <f t="shared" si="2"/>
        <v>9__3</v>
      </c>
      <c r="J10" s="1" t="str">
        <f t="shared" si="2"/>
        <v>9__4</v>
      </c>
      <c r="K10" s="1" t="str">
        <f t="shared" si="2"/>
        <v>9__5</v>
      </c>
      <c r="N10" s="1">
        <f t="shared" si="4"/>
        <v>9</v>
      </c>
      <c r="O10" s="5">
        <v>108</v>
      </c>
      <c r="P10" s="4" t="s">
        <v>27</v>
      </c>
      <c r="Q10" s="4" t="s">
        <v>28</v>
      </c>
      <c r="R10" s="4" t="s">
        <v>29</v>
      </c>
      <c r="S10" s="4">
        <v>10</v>
      </c>
    </row>
    <row r="11" spans="1:19" x14ac:dyDescent="0.3">
      <c r="A11" s="4">
        <v>109</v>
      </c>
      <c r="B11" s="1" t="e">
        <f t="shared" si="1"/>
        <v>#N/A</v>
      </c>
      <c r="C11" s="1" t="e">
        <f t="shared" si="1"/>
        <v>#N/A</v>
      </c>
      <c r="D11" s="1" t="e">
        <f t="shared" si="1"/>
        <v>#N/A</v>
      </c>
      <c r="E11" s="1" t="e">
        <f t="shared" si="1"/>
        <v>#N/A</v>
      </c>
      <c r="G11" s="4">
        <v>109</v>
      </c>
      <c r="H11" s="1" t="e">
        <f t="shared" si="3"/>
        <v>#N/A</v>
      </c>
      <c r="I11" s="1" t="e">
        <f t="shared" si="2"/>
        <v>#N/A</v>
      </c>
      <c r="J11" s="1" t="e">
        <f t="shared" si="2"/>
        <v>#N/A</v>
      </c>
      <c r="K11" s="1" t="e">
        <f t="shared" si="2"/>
        <v>#N/A</v>
      </c>
    </row>
    <row r="12" spans="1:19" x14ac:dyDescent="0.3">
      <c r="A12" s="4">
        <v>110</v>
      </c>
      <c r="B12" s="1" t="e">
        <f t="shared" si="1"/>
        <v>#N/A</v>
      </c>
      <c r="C12" s="1" t="e">
        <f t="shared" si="1"/>
        <v>#N/A</v>
      </c>
      <c r="D12" s="1" t="e">
        <f t="shared" si="1"/>
        <v>#N/A</v>
      </c>
      <c r="E12" s="1" t="e">
        <f t="shared" si="1"/>
        <v>#N/A</v>
      </c>
      <c r="G12" s="4">
        <v>110</v>
      </c>
      <c r="H12" s="1" t="e">
        <f t="shared" si="3"/>
        <v>#N/A</v>
      </c>
      <c r="I12" s="1" t="e">
        <f t="shared" si="2"/>
        <v>#N/A</v>
      </c>
      <c r="J12" s="1" t="e">
        <f t="shared" si="2"/>
        <v>#N/A</v>
      </c>
      <c r="K12" s="1" t="e">
        <f t="shared" si="2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B3" sqref="B3:B10"/>
    </sheetView>
  </sheetViews>
  <sheetFormatPr defaultRowHeight="14.4" x14ac:dyDescent="0.3"/>
  <cols>
    <col min="1" max="1" width="9.5546875" bestFit="1" customWidth="1"/>
    <col min="2" max="2" width="12.44140625" bestFit="1" customWidth="1"/>
    <col min="5" max="5" width="2" bestFit="1" customWidth="1"/>
    <col min="6" max="6" width="12.44140625" bestFit="1" customWidth="1"/>
    <col min="7" max="7" width="7.77734375" bestFit="1" customWidth="1"/>
    <col min="8" max="8" width="11" bestFit="1" customWidth="1"/>
    <col min="9" max="9" width="7.88671875" bestFit="1" customWidth="1"/>
    <col min="10" max="10" width="9.5546875" bestFit="1" customWidth="1"/>
  </cols>
  <sheetData>
    <row r="1" spans="1:10" x14ac:dyDescent="0.3">
      <c r="E1" s="1"/>
      <c r="F1" s="1">
        <v>1</v>
      </c>
      <c r="G1" s="1">
        <f t="shared" ref="G1:I1" si="0">F1+1</f>
        <v>2</v>
      </c>
      <c r="H1" s="1">
        <f t="shared" si="0"/>
        <v>3</v>
      </c>
      <c r="I1" s="1">
        <f t="shared" si="0"/>
        <v>4</v>
      </c>
      <c r="J1" s="1">
        <f>I1+5</f>
        <v>9</v>
      </c>
    </row>
    <row r="2" spans="1:10" x14ac:dyDescent="0.3">
      <c r="A2" s="2" t="s">
        <v>4</v>
      </c>
      <c r="B2" s="2" t="s">
        <v>0</v>
      </c>
      <c r="E2" s="1">
        <v>1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</row>
    <row r="3" spans="1:10" x14ac:dyDescent="0.3">
      <c r="A3" s="5">
        <v>101</v>
      </c>
      <c r="B3" t="str">
        <f>INDEX($F$2:$J$10,MATCH($A3,$J$2:$J$10,0),3)</f>
        <v>Ram Traders</v>
      </c>
      <c r="E3" s="1">
        <f>E2+1</f>
        <v>2</v>
      </c>
      <c r="F3" s="4" t="s">
        <v>6</v>
      </c>
      <c r="G3" s="4" t="s">
        <v>7</v>
      </c>
      <c r="H3" s="4" t="s">
        <v>8</v>
      </c>
      <c r="I3" s="4">
        <v>23</v>
      </c>
      <c r="J3" s="5">
        <v>101</v>
      </c>
    </row>
    <row r="4" spans="1:10" x14ac:dyDescent="0.3">
      <c r="A4" s="5">
        <v>102</v>
      </c>
      <c r="B4" t="str">
        <f t="shared" ref="B4:B10" si="1">INDEX($F$2:$J$10,MATCH($A4,$J$2:$J$10,0),3)</f>
        <v>Rajesh</v>
      </c>
      <c r="E4" s="1">
        <f t="shared" ref="E4:E10" si="2">E3+1</f>
        <v>3</v>
      </c>
      <c r="F4" s="4" t="s">
        <v>9</v>
      </c>
      <c r="G4" s="4" t="s">
        <v>10</v>
      </c>
      <c r="H4" s="4" t="s">
        <v>11</v>
      </c>
      <c r="I4" s="4">
        <v>20</v>
      </c>
      <c r="J4" s="5">
        <v>102</v>
      </c>
    </row>
    <row r="5" spans="1:10" x14ac:dyDescent="0.3">
      <c r="A5" s="5">
        <v>103</v>
      </c>
      <c r="B5" t="str">
        <f t="shared" si="1"/>
        <v>Shivam</v>
      </c>
      <c r="E5" s="1">
        <f t="shared" si="2"/>
        <v>4</v>
      </c>
      <c r="F5" s="4" t="s">
        <v>12</v>
      </c>
      <c r="G5" s="4" t="s">
        <v>13</v>
      </c>
      <c r="H5" s="4" t="s">
        <v>14</v>
      </c>
      <c r="I5" s="4">
        <v>30</v>
      </c>
      <c r="J5" s="5">
        <v>103</v>
      </c>
    </row>
    <row r="6" spans="1:10" x14ac:dyDescent="0.3">
      <c r="A6" s="5">
        <v>104</v>
      </c>
      <c r="B6" t="str">
        <f t="shared" si="1"/>
        <v>Sethi</v>
      </c>
      <c r="E6" s="1">
        <f t="shared" si="2"/>
        <v>5</v>
      </c>
      <c r="F6" s="4" t="s">
        <v>15</v>
      </c>
      <c r="G6" s="4" t="s">
        <v>16</v>
      </c>
      <c r="H6" s="4" t="s">
        <v>17</v>
      </c>
      <c r="I6" s="4">
        <v>40</v>
      </c>
      <c r="J6" s="5">
        <v>104</v>
      </c>
    </row>
    <row r="7" spans="1:10" x14ac:dyDescent="0.3">
      <c r="A7" s="5">
        <v>105</v>
      </c>
      <c r="B7" t="str">
        <f t="shared" si="1"/>
        <v>Rahul</v>
      </c>
      <c r="E7" s="1">
        <f t="shared" si="2"/>
        <v>6</v>
      </c>
      <c r="F7" s="4" t="s">
        <v>18</v>
      </c>
      <c r="G7" s="4" t="s">
        <v>19</v>
      </c>
      <c r="H7" s="4" t="s">
        <v>20</v>
      </c>
      <c r="I7" s="4">
        <v>34</v>
      </c>
      <c r="J7" s="5">
        <v>105</v>
      </c>
    </row>
    <row r="8" spans="1:10" x14ac:dyDescent="0.3">
      <c r="A8" s="5">
        <v>106</v>
      </c>
      <c r="B8" t="str">
        <f t="shared" si="1"/>
        <v>Aman</v>
      </c>
      <c r="E8" s="1">
        <f t="shared" si="2"/>
        <v>7</v>
      </c>
      <c r="F8" s="4" t="s">
        <v>21</v>
      </c>
      <c r="G8" s="4" t="s">
        <v>22</v>
      </c>
      <c r="H8" s="4" t="s">
        <v>23</v>
      </c>
      <c r="I8" s="4">
        <v>54</v>
      </c>
      <c r="J8" s="5">
        <v>106</v>
      </c>
    </row>
    <row r="9" spans="1:10" x14ac:dyDescent="0.3">
      <c r="A9" s="5">
        <v>107</v>
      </c>
      <c r="B9" t="str">
        <f t="shared" si="1"/>
        <v>Sohan</v>
      </c>
      <c r="E9" s="1">
        <f t="shared" si="2"/>
        <v>8</v>
      </c>
      <c r="F9" s="4" t="s">
        <v>24</v>
      </c>
      <c r="G9" s="4" t="s">
        <v>25</v>
      </c>
      <c r="H9" s="4" t="s">
        <v>26</v>
      </c>
      <c r="I9" s="4">
        <v>30</v>
      </c>
      <c r="J9" s="5">
        <v>107</v>
      </c>
    </row>
    <row r="10" spans="1:10" x14ac:dyDescent="0.3">
      <c r="A10" s="5">
        <v>108</v>
      </c>
      <c r="B10" t="str">
        <f t="shared" si="1"/>
        <v>Chandu</v>
      </c>
      <c r="E10" s="1">
        <f t="shared" si="2"/>
        <v>9</v>
      </c>
      <c r="F10" s="4" t="s">
        <v>27</v>
      </c>
      <c r="G10" s="4" t="s">
        <v>28</v>
      </c>
      <c r="H10" s="4" t="s">
        <v>29</v>
      </c>
      <c r="I10" s="4">
        <v>10</v>
      </c>
      <c r="J10" s="5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J2" sqref="J2:N10"/>
    </sheetView>
  </sheetViews>
  <sheetFormatPr defaultRowHeight="13.8" x14ac:dyDescent="0.3"/>
  <cols>
    <col min="1" max="1" width="9.5546875" style="1" bestFit="1" customWidth="1"/>
    <col min="2" max="2" width="12.44140625" style="1" bestFit="1" customWidth="1"/>
    <col min="3" max="3" width="7.77734375" style="1" bestFit="1" customWidth="1"/>
    <col min="4" max="4" width="11" style="1" bestFit="1" customWidth="1"/>
    <col min="5" max="5" width="7.88671875" style="1" bestFit="1" customWidth="1"/>
    <col min="6" max="8" width="8.88671875" style="1"/>
    <col min="9" max="9" width="3" style="1" bestFit="1" customWidth="1"/>
    <col min="10" max="10" width="12.44140625" style="1" bestFit="1" customWidth="1"/>
    <col min="11" max="11" width="7.77734375" style="1" bestFit="1" customWidth="1"/>
    <col min="12" max="12" width="11" style="1" bestFit="1" customWidth="1"/>
    <col min="13" max="13" width="7.88671875" style="1" bestFit="1" customWidth="1"/>
    <col min="14" max="14" width="9.5546875" style="1" bestFit="1" customWidth="1"/>
    <col min="15" max="15" width="8.88671875" style="1"/>
    <col min="16" max="16" width="12" style="1" bestFit="1" customWidth="1"/>
    <col min="17" max="16384" width="8.88671875" style="1"/>
  </cols>
  <sheetData>
    <row r="1" spans="1:15" x14ac:dyDescent="0.3">
      <c r="J1" s="1">
        <f>N1+1</f>
        <v>2</v>
      </c>
      <c r="K1" s="1">
        <f t="shared" ref="K1:M1" si="0">J1+1</f>
        <v>3</v>
      </c>
      <c r="L1" s="1">
        <f t="shared" si="0"/>
        <v>4</v>
      </c>
      <c r="M1" s="1">
        <f t="shared" si="0"/>
        <v>5</v>
      </c>
      <c r="N1" s="1">
        <v>1</v>
      </c>
    </row>
    <row r="2" spans="1:15" x14ac:dyDescent="0.3">
      <c r="A2" s="2" t="s">
        <v>4</v>
      </c>
      <c r="B2" s="2" t="s">
        <v>0</v>
      </c>
      <c r="C2" s="2" t="s">
        <v>1</v>
      </c>
      <c r="D2" s="2" t="s">
        <v>2</v>
      </c>
      <c r="E2" s="2" t="s">
        <v>3</v>
      </c>
      <c r="J2" s="2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1">
        <v>1</v>
      </c>
    </row>
    <row r="3" spans="1:15" x14ac:dyDescent="0.3">
      <c r="A3" s="4">
        <v>101</v>
      </c>
      <c r="B3" s="1" t="str">
        <f t="shared" ref="B3:E12" si="1">INDEX($J$2:$M$12,MATCH($A3,$N$2:$N$12,0),MATCH(B$2,$J$2:$M$2,0))</f>
        <v>HardDisk</v>
      </c>
      <c r="C3" s="1" t="str">
        <f t="shared" si="1"/>
        <v>AP0101</v>
      </c>
      <c r="D3" s="1" t="str">
        <f t="shared" si="1"/>
        <v>Ram Traders</v>
      </c>
      <c r="E3" s="1">
        <f t="shared" si="1"/>
        <v>23</v>
      </c>
      <c r="J3" s="4" t="s">
        <v>6</v>
      </c>
      <c r="K3" s="4" t="s">
        <v>7</v>
      </c>
      <c r="L3" s="4" t="s">
        <v>8</v>
      </c>
      <c r="M3" s="4">
        <v>23</v>
      </c>
      <c r="N3" s="5">
        <v>101</v>
      </c>
      <c r="O3" s="1">
        <f>O2+1</f>
        <v>2</v>
      </c>
    </row>
    <row r="4" spans="1:15" x14ac:dyDescent="0.3">
      <c r="A4" s="4">
        <v>102</v>
      </c>
      <c r="B4" s="1" t="str">
        <f t="shared" si="1"/>
        <v>Microphone</v>
      </c>
      <c r="C4" s="1" t="str">
        <f t="shared" si="1"/>
        <v>AP0102</v>
      </c>
      <c r="D4" s="1" t="str">
        <f t="shared" si="1"/>
        <v>Rajesh</v>
      </c>
      <c r="E4" s="1">
        <f t="shared" si="1"/>
        <v>20</v>
      </c>
      <c r="J4" s="4" t="s">
        <v>9</v>
      </c>
      <c r="K4" s="4" t="s">
        <v>10</v>
      </c>
      <c r="L4" s="4" t="s">
        <v>11</v>
      </c>
      <c r="M4" s="4">
        <v>20</v>
      </c>
      <c r="N4" s="5">
        <v>102</v>
      </c>
      <c r="O4" s="1">
        <f t="shared" ref="O4:O10" si="2">O3+1</f>
        <v>3</v>
      </c>
    </row>
    <row r="5" spans="1:15" x14ac:dyDescent="0.3">
      <c r="A5" s="4">
        <v>103</v>
      </c>
      <c r="B5" s="1" t="str">
        <f t="shared" si="1"/>
        <v>Mobile Stand</v>
      </c>
      <c r="C5" s="1" t="str">
        <f t="shared" si="1"/>
        <v>AP0103</v>
      </c>
      <c r="D5" s="1" t="str">
        <f t="shared" si="1"/>
        <v>Shivam</v>
      </c>
      <c r="E5" s="1">
        <f t="shared" si="1"/>
        <v>30</v>
      </c>
      <c r="J5" s="4" t="s">
        <v>12</v>
      </c>
      <c r="K5" s="4" t="s">
        <v>13</v>
      </c>
      <c r="L5" s="4" t="s">
        <v>14</v>
      </c>
      <c r="M5" s="4">
        <v>30</v>
      </c>
      <c r="N5" s="5">
        <v>103</v>
      </c>
      <c r="O5" s="1">
        <f t="shared" si="2"/>
        <v>4</v>
      </c>
    </row>
    <row r="6" spans="1:15" x14ac:dyDescent="0.3">
      <c r="A6" s="4">
        <v>104</v>
      </c>
      <c r="B6" s="1" t="str">
        <f t="shared" si="1"/>
        <v>Laptop Stand</v>
      </c>
      <c r="C6" s="1" t="str">
        <f t="shared" si="1"/>
        <v>AP0104</v>
      </c>
      <c r="D6" s="1" t="str">
        <f t="shared" si="1"/>
        <v>Sethi</v>
      </c>
      <c r="E6" s="1">
        <f t="shared" si="1"/>
        <v>40</v>
      </c>
      <c r="J6" s="4" t="s">
        <v>15</v>
      </c>
      <c r="K6" s="4" t="s">
        <v>16</v>
      </c>
      <c r="L6" s="4" t="s">
        <v>17</v>
      </c>
      <c r="M6" s="4">
        <v>40</v>
      </c>
      <c r="N6" s="5">
        <v>104</v>
      </c>
      <c r="O6" s="1">
        <f t="shared" si="2"/>
        <v>5</v>
      </c>
    </row>
    <row r="7" spans="1:15" x14ac:dyDescent="0.3">
      <c r="A7" s="4">
        <v>105</v>
      </c>
      <c r="B7" s="1" t="str">
        <f t="shared" si="1"/>
        <v>Mic Holder</v>
      </c>
      <c r="C7" s="1" t="str">
        <f t="shared" si="1"/>
        <v>AP0105</v>
      </c>
      <c r="D7" s="1" t="str">
        <f t="shared" si="1"/>
        <v>Rahul</v>
      </c>
      <c r="E7" s="1">
        <f t="shared" si="1"/>
        <v>34</v>
      </c>
      <c r="J7" s="4" t="s">
        <v>18</v>
      </c>
      <c r="K7" s="4" t="s">
        <v>19</v>
      </c>
      <c r="L7" s="4" t="s">
        <v>20</v>
      </c>
      <c r="M7" s="4">
        <v>34</v>
      </c>
      <c r="N7" s="5">
        <v>105</v>
      </c>
      <c r="O7" s="1">
        <f t="shared" si="2"/>
        <v>6</v>
      </c>
    </row>
    <row r="8" spans="1:15" x14ac:dyDescent="0.3">
      <c r="A8" s="4">
        <v>106</v>
      </c>
      <c r="B8" s="1" t="str">
        <f t="shared" si="1"/>
        <v>Printer</v>
      </c>
      <c r="C8" s="1" t="str">
        <f t="shared" si="1"/>
        <v>AP0106</v>
      </c>
      <c r="D8" s="1" t="str">
        <f t="shared" si="1"/>
        <v>Aman</v>
      </c>
      <c r="E8" s="1">
        <f t="shared" si="1"/>
        <v>54</v>
      </c>
      <c r="J8" s="4" t="s">
        <v>21</v>
      </c>
      <c r="K8" s="4" t="s">
        <v>22</v>
      </c>
      <c r="L8" s="4" t="s">
        <v>23</v>
      </c>
      <c r="M8" s="4">
        <v>54</v>
      </c>
      <c r="N8" s="5">
        <v>106</v>
      </c>
      <c r="O8" s="1">
        <f t="shared" si="2"/>
        <v>7</v>
      </c>
    </row>
    <row r="9" spans="1:15" x14ac:dyDescent="0.3">
      <c r="A9" s="4">
        <v>107</v>
      </c>
      <c r="B9" s="1" t="str">
        <f t="shared" si="1"/>
        <v>Scanner</v>
      </c>
      <c r="C9" s="1" t="str">
        <f t="shared" si="1"/>
        <v>AP0107</v>
      </c>
      <c r="D9" s="1" t="str">
        <f t="shared" si="1"/>
        <v>Sohan</v>
      </c>
      <c r="E9" s="1">
        <f t="shared" si="1"/>
        <v>30</v>
      </c>
      <c r="J9" s="4" t="s">
        <v>24</v>
      </c>
      <c r="K9" s="4" t="s">
        <v>25</v>
      </c>
      <c r="L9" s="4" t="s">
        <v>26</v>
      </c>
      <c r="M9" s="4">
        <v>30</v>
      </c>
      <c r="N9" s="5">
        <v>107</v>
      </c>
      <c r="O9" s="1">
        <f t="shared" si="2"/>
        <v>8</v>
      </c>
    </row>
    <row r="10" spans="1:15" x14ac:dyDescent="0.3">
      <c r="A10" s="4">
        <v>108</v>
      </c>
      <c r="B10" s="1" t="str">
        <f t="shared" si="1"/>
        <v>Monitor</v>
      </c>
      <c r="C10" s="1" t="str">
        <f t="shared" si="1"/>
        <v>AP0108</v>
      </c>
      <c r="D10" s="1" t="str">
        <f t="shared" si="1"/>
        <v>Chandu</v>
      </c>
      <c r="E10" s="1">
        <f t="shared" si="1"/>
        <v>10</v>
      </c>
      <c r="J10" s="4" t="s">
        <v>27</v>
      </c>
      <c r="K10" s="4" t="s">
        <v>28</v>
      </c>
      <c r="L10" s="4" t="s">
        <v>29</v>
      </c>
      <c r="M10" s="4">
        <v>10</v>
      </c>
      <c r="N10" s="5">
        <v>108</v>
      </c>
      <c r="O10" s="1">
        <f t="shared" si="2"/>
        <v>9</v>
      </c>
    </row>
    <row r="11" spans="1:15" x14ac:dyDescent="0.3">
      <c r="A11" s="4">
        <v>109</v>
      </c>
      <c r="B11" s="1" t="e">
        <f t="shared" si="1"/>
        <v>#N/A</v>
      </c>
      <c r="C11" s="1" t="e">
        <f t="shared" si="1"/>
        <v>#N/A</v>
      </c>
      <c r="D11" s="1" t="e">
        <f t="shared" si="1"/>
        <v>#N/A</v>
      </c>
      <c r="E11" s="1" t="e">
        <f t="shared" si="1"/>
        <v>#N/A</v>
      </c>
    </row>
    <row r="12" spans="1:15" x14ac:dyDescent="0.3">
      <c r="A12" s="4">
        <v>110</v>
      </c>
      <c r="B12" s="1" t="e">
        <f t="shared" si="1"/>
        <v>#N/A</v>
      </c>
      <c r="C12" s="1" t="e">
        <f t="shared" si="1"/>
        <v>#N/A</v>
      </c>
      <c r="D12" s="1" t="e">
        <f t="shared" si="1"/>
        <v>#N/A</v>
      </c>
      <c r="E12" s="1" t="e">
        <f t="shared" si="1"/>
        <v>#N/A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152" workbookViewId="0">
      <selection activeCell="B3" sqref="B3"/>
    </sheetView>
  </sheetViews>
  <sheetFormatPr defaultRowHeight="14.4" x14ac:dyDescent="0.3"/>
  <cols>
    <col min="1" max="1" width="9.5546875" bestFit="1" customWidth="1"/>
    <col min="2" max="2" width="7.77734375" bestFit="1" customWidth="1"/>
    <col min="3" max="3" width="10.6640625" bestFit="1" customWidth="1"/>
    <col min="4" max="4" width="7.88671875" bestFit="1" customWidth="1"/>
    <col min="5" max="5" width="9.5546875" bestFit="1" customWidth="1"/>
    <col min="8" max="8" width="2" bestFit="1" customWidth="1"/>
    <col min="9" max="9" width="9.5546875" bestFit="1" customWidth="1"/>
    <col min="10" max="10" width="7.77734375" bestFit="1" customWidth="1"/>
    <col min="11" max="11" width="11" bestFit="1" customWidth="1"/>
    <col min="12" max="12" width="7.88671875" bestFit="1" customWidth="1"/>
    <col min="13" max="13" width="12.44140625" style="13" bestFit="1" customWidth="1"/>
  </cols>
  <sheetData>
    <row r="1" spans="1:13" x14ac:dyDescent="0.3">
      <c r="I1">
        <v>1</v>
      </c>
      <c r="J1">
        <f>I1+1</f>
        <v>2</v>
      </c>
      <c r="K1">
        <f t="shared" ref="K1:M1" si="0">J1+1</f>
        <v>3</v>
      </c>
      <c r="L1">
        <f t="shared" si="0"/>
        <v>4</v>
      </c>
      <c r="M1">
        <f t="shared" si="0"/>
        <v>5</v>
      </c>
    </row>
    <row r="2" spans="1:13" x14ac:dyDescent="0.3">
      <c r="A2" s="2" t="s">
        <v>4</v>
      </c>
      <c r="B2" s="2" t="s">
        <v>1</v>
      </c>
      <c r="C2" s="2" t="s">
        <v>2</v>
      </c>
      <c r="D2" s="2" t="s">
        <v>3</v>
      </c>
      <c r="E2" s="2" t="s">
        <v>4</v>
      </c>
      <c r="H2">
        <v>1</v>
      </c>
      <c r="I2" s="2" t="s">
        <v>4</v>
      </c>
      <c r="J2" s="2" t="s">
        <v>1</v>
      </c>
      <c r="K2" s="2" t="s">
        <v>2</v>
      </c>
      <c r="L2" s="2" t="s">
        <v>3</v>
      </c>
      <c r="M2" s="14" t="s">
        <v>0</v>
      </c>
    </row>
    <row r="3" spans="1:13" x14ac:dyDescent="0.3">
      <c r="A3" s="5">
        <v>101</v>
      </c>
      <c r="B3" t="str">
        <f>INDEX($I$2:$M$10,MATCH($A3,$I$2:$I$10,0),MATCH(B$2,$I$2:$M$2,0))</f>
        <v>AP0101</v>
      </c>
      <c r="C3" t="str">
        <f t="shared" ref="C3:E10" si="1">INDEX($I$2:$M$10,MATCH($A3,$I$2:$I$10,0),MATCH(C$2,$I$2:$M$2,0))</f>
        <v>Ram Traders</v>
      </c>
      <c r="D3">
        <f t="shared" si="1"/>
        <v>23</v>
      </c>
      <c r="E3">
        <f t="shared" si="1"/>
        <v>101</v>
      </c>
      <c r="H3">
        <f>H2+1</f>
        <v>2</v>
      </c>
      <c r="I3" s="5">
        <v>101</v>
      </c>
      <c r="J3" s="4" t="s">
        <v>7</v>
      </c>
      <c r="K3" s="4" t="s">
        <v>8</v>
      </c>
      <c r="L3" s="4">
        <v>23</v>
      </c>
      <c r="M3" s="15" t="s">
        <v>6</v>
      </c>
    </row>
    <row r="4" spans="1:13" x14ac:dyDescent="0.3">
      <c r="A4" s="5">
        <v>102</v>
      </c>
      <c r="B4" t="str">
        <f t="shared" ref="B4:E10" si="2">INDEX($I$2:$M$10,MATCH($A4,$I$2:$I$10,0),MATCH(B$2,$I$2:$M$2,0))</f>
        <v>AP0102</v>
      </c>
      <c r="C4" t="str">
        <f t="shared" si="1"/>
        <v>Rajesh</v>
      </c>
      <c r="D4">
        <f t="shared" si="1"/>
        <v>20</v>
      </c>
      <c r="E4">
        <f t="shared" si="1"/>
        <v>102</v>
      </c>
      <c r="H4">
        <f t="shared" ref="H4:H10" si="3">H3+1</f>
        <v>3</v>
      </c>
      <c r="I4" s="5">
        <v>102</v>
      </c>
      <c r="J4" s="4" t="s">
        <v>10</v>
      </c>
      <c r="K4" s="4" t="s">
        <v>11</v>
      </c>
      <c r="L4" s="4">
        <v>20</v>
      </c>
      <c r="M4" s="15" t="s">
        <v>9</v>
      </c>
    </row>
    <row r="5" spans="1:13" x14ac:dyDescent="0.3">
      <c r="A5" s="5">
        <v>103</v>
      </c>
      <c r="B5" t="str">
        <f t="shared" si="2"/>
        <v>AP0103</v>
      </c>
      <c r="C5" t="str">
        <f t="shared" si="1"/>
        <v>Shivam</v>
      </c>
      <c r="D5">
        <f t="shared" si="1"/>
        <v>30</v>
      </c>
      <c r="E5">
        <f t="shared" si="1"/>
        <v>103</v>
      </c>
      <c r="H5">
        <f t="shared" si="3"/>
        <v>4</v>
      </c>
      <c r="I5" s="5">
        <v>103</v>
      </c>
      <c r="J5" s="4" t="s">
        <v>13</v>
      </c>
      <c r="K5" s="4" t="s">
        <v>14</v>
      </c>
      <c r="L5" s="4">
        <v>30</v>
      </c>
      <c r="M5" s="15" t="s">
        <v>12</v>
      </c>
    </row>
    <row r="6" spans="1:13" x14ac:dyDescent="0.3">
      <c r="A6" s="5">
        <v>104</v>
      </c>
      <c r="B6" t="str">
        <f t="shared" si="2"/>
        <v>AP0104</v>
      </c>
      <c r="C6" t="str">
        <f t="shared" si="1"/>
        <v>Sethi</v>
      </c>
      <c r="D6">
        <f t="shared" si="1"/>
        <v>40</v>
      </c>
      <c r="E6">
        <f t="shared" si="1"/>
        <v>104</v>
      </c>
      <c r="H6">
        <f t="shared" si="3"/>
        <v>5</v>
      </c>
      <c r="I6" s="5">
        <v>104</v>
      </c>
      <c r="J6" s="4" t="s">
        <v>16</v>
      </c>
      <c r="K6" s="4" t="s">
        <v>17</v>
      </c>
      <c r="L6" s="4">
        <v>40</v>
      </c>
      <c r="M6" s="15" t="s">
        <v>15</v>
      </c>
    </row>
    <row r="7" spans="1:13" x14ac:dyDescent="0.3">
      <c r="A7" s="5">
        <v>105</v>
      </c>
      <c r="B7" t="str">
        <f t="shared" si="2"/>
        <v>AP0105</v>
      </c>
      <c r="C7" t="str">
        <f t="shared" si="1"/>
        <v>Rahul</v>
      </c>
      <c r="D7">
        <f t="shared" si="1"/>
        <v>34</v>
      </c>
      <c r="E7">
        <f t="shared" si="1"/>
        <v>105</v>
      </c>
      <c r="H7">
        <f t="shared" si="3"/>
        <v>6</v>
      </c>
      <c r="I7" s="5">
        <v>105</v>
      </c>
      <c r="J7" s="4" t="s">
        <v>19</v>
      </c>
      <c r="K7" s="4" t="s">
        <v>20</v>
      </c>
      <c r="L7" s="4">
        <v>34</v>
      </c>
      <c r="M7" s="15" t="s">
        <v>18</v>
      </c>
    </row>
    <row r="8" spans="1:13" x14ac:dyDescent="0.3">
      <c r="A8" s="5">
        <v>106</v>
      </c>
      <c r="B8" t="str">
        <f t="shared" si="2"/>
        <v>AP0106</v>
      </c>
      <c r="C8" t="str">
        <f t="shared" si="1"/>
        <v>Aman</v>
      </c>
      <c r="D8">
        <f t="shared" si="1"/>
        <v>54</v>
      </c>
      <c r="E8">
        <f t="shared" si="1"/>
        <v>106</v>
      </c>
      <c r="H8">
        <f t="shared" si="3"/>
        <v>7</v>
      </c>
      <c r="I8" s="5">
        <v>106</v>
      </c>
      <c r="J8" s="4" t="s">
        <v>22</v>
      </c>
      <c r="K8" s="4" t="s">
        <v>23</v>
      </c>
      <c r="L8" s="4">
        <v>54</v>
      </c>
      <c r="M8" s="15" t="s">
        <v>21</v>
      </c>
    </row>
    <row r="9" spans="1:13" x14ac:dyDescent="0.3">
      <c r="A9" s="5">
        <v>107</v>
      </c>
      <c r="B9" t="str">
        <f t="shared" si="2"/>
        <v>AP0107</v>
      </c>
      <c r="C9" t="str">
        <f t="shared" si="1"/>
        <v>Sohan</v>
      </c>
      <c r="D9">
        <f t="shared" si="1"/>
        <v>30</v>
      </c>
      <c r="E9">
        <f t="shared" si="1"/>
        <v>107</v>
      </c>
      <c r="H9">
        <f t="shared" si="3"/>
        <v>8</v>
      </c>
      <c r="I9" s="5">
        <v>107</v>
      </c>
      <c r="J9" s="4" t="s">
        <v>25</v>
      </c>
      <c r="K9" s="4" t="s">
        <v>26</v>
      </c>
      <c r="L9" s="4">
        <v>30</v>
      </c>
      <c r="M9" s="15" t="s">
        <v>24</v>
      </c>
    </row>
    <row r="10" spans="1:13" x14ac:dyDescent="0.3">
      <c r="A10" s="5">
        <v>108</v>
      </c>
      <c r="B10" t="str">
        <f t="shared" si="2"/>
        <v>AP0108</v>
      </c>
      <c r="C10" t="str">
        <f t="shared" si="1"/>
        <v>Chandu</v>
      </c>
      <c r="D10">
        <f t="shared" si="1"/>
        <v>10</v>
      </c>
      <c r="E10">
        <f t="shared" si="1"/>
        <v>108</v>
      </c>
      <c r="H10">
        <f t="shared" si="3"/>
        <v>9</v>
      </c>
      <c r="I10" s="5">
        <v>108</v>
      </c>
      <c r="J10" s="4" t="s">
        <v>28</v>
      </c>
      <c r="K10" s="4" t="s">
        <v>29</v>
      </c>
      <c r="L10" s="4">
        <v>10</v>
      </c>
      <c r="M10" s="15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C3" sqref="C3"/>
    </sheetView>
  </sheetViews>
  <sheetFormatPr defaultRowHeight="14.4" x14ac:dyDescent="0.3"/>
  <cols>
    <col min="3" max="3" width="32.44140625" customWidth="1"/>
  </cols>
  <sheetData>
    <row r="1" spans="1:13" x14ac:dyDescent="0.3">
      <c r="A1" s="7"/>
      <c r="B1" s="7"/>
      <c r="C1" s="12" t="s">
        <v>37</v>
      </c>
      <c r="D1" s="12"/>
      <c r="E1" s="12"/>
      <c r="F1" s="12"/>
      <c r="G1" s="7"/>
      <c r="H1" s="7"/>
      <c r="I1" s="7"/>
      <c r="J1" s="7"/>
      <c r="K1" s="7"/>
      <c r="L1" s="7"/>
      <c r="M1" s="7"/>
    </row>
    <row r="2" spans="1:13" x14ac:dyDescent="0.3">
      <c r="A2" s="7"/>
      <c r="B2" s="6" t="s">
        <v>4</v>
      </c>
      <c r="C2" s="12"/>
      <c r="D2" s="12"/>
      <c r="E2" s="12"/>
      <c r="F2" s="12"/>
      <c r="G2" s="7"/>
      <c r="H2" s="7"/>
      <c r="I2" s="8" t="s">
        <v>0</v>
      </c>
      <c r="J2" s="8" t="s">
        <v>1</v>
      </c>
      <c r="K2" s="8" t="s">
        <v>2</v>
      </c>
      <c r="L2" s="8" t="s">
        <v>3</v>
      </c>
      <c r="M2" s="6" t="s">
        <v>4</v>
      </c>
    </row>
    <row r="3" spans="1:13" x14ac:dyDescent="0.3">
      <c r="A3" s="7"/>
      <c r="B3" s="9">
        <v>101</v>
      </c>
      <c r="C3" s="7" t="e">
        <f ca="1">XLOOKUP(B3, $M$3:$M$12, $K$3:$K$12, "Nt", 0)</f>
        <v>#NAME?</v>
      </c>
      <c r="D3" s="7"/>
      <c r="E3" s="7"/>
      <c r="F3" s="7"/>
      <c r="G3" s="7"/>
      <c r="H3" s="7"/>
      <c r="I3" s="10" t="s">
        <v>6</v>
      </c>
      <c r="J3" s="10" t="s">
        <v>7</v>
      </c>
      <c r="K3" s="10" t="s">
        <v>8</v>
      </c>
      <c r="L3" s="10">
        <v>23</v>
      </c>
      <c r="M3" s="9">
        <v>101</v>
      </c>
    </row>
    <row r="4" spans="1:13" x14ac:dyDescent="0.3">
      <c r="A4" s="7"/>
      <c r="B4" s="9">
        <v>102</v>
      </c>
      <c r="C4" s="7" t="e">
        <f t="shared" ref="C4:C12" ca="1" si="0">XLOOKUP(B4, $M$3:$M$12, $K$3:$K$12, "Nt", 0)</f>
        <v>#NAME?</v>
      </c>
      <c r="D4" s="7"/>
      <c r="E4" s="7"/>
      <c r="F4" s="7"/>
      <c r="G4" s="7"/>
      <c r="H4" s="7"/>
      <c r="I4" s="10" t="s">
        <v>9</v>
      </c>
      <c r="J4" s="10" t="s">
        <v>10</v>
      </c>
      <c r="K4" s="10" t="s">
        <v>11</v>
      </c>
      <c r="L4" s="10">
        <v>20</v>
      </c>
      <c r="M4" s="9">
        <v>102</v>
      </c>
    </row>
    <row r="5" spans="1:13" x14ac:dyDescent="0.3">
      <c r="A5" s="7"/>
      <c r="B5" s="9">
        <v>103</v>
      </c>
      <c r="C5" s="7" t="e">
        <f t="shared" ca="1" si="0"/>
        <v>#NAME?</v>
      </c>
      <c r="D5" s="7"/>
      <c r="E5" s="7"/>
      <c r="F5" s="7"/>
      <c r="G5" s="7"/>
      <c r="H5" s="7"/>
      <c r="I5" s="10" t="s">
        <v>12</v>
      </c>
      <c r="J5" s="10" t="s">
        <v>13</v>
      </c>
      <c r="K5" s="10" t="s">
        <v>14</v>
      </c>
      <c r="L5" s="10">
        <v>30</v>
      </c>
      <c r="M5" s="9">
        <v>103</v>
      </c>
    </row>
    <row r="6" spans="1:13" x14ac:dyDescent="0.3">
      <c r="A6" s="7"/>
      <c r="B6" s="9">
        <v>104</v>
      </c>
      <c r="C6" s="7" t="e">
        <f t="shared" ca="1" si="0"/>
        <v>#NAME?</v>
      </c>
      <c r="D6" s="7"/>
      <c r="E6" s="7"/>
      <c r="F6" s="7"/>
      <c r="G6" s="7"/>
      <c r="H6" s="7"/>
      <c r="I6" s="10" t="s">
        <v>15</v>
      </c>
      <c r="J6" s="10" t="s">
        <v>16</v>
      </c>
      <c r="K6" s="10" t="s">
        <v>17</v>
      </c>
      <c r="L6" s="10">
        <v>40</v>
      </c>
      <c r="M6" s="9">
        <v>104</v>
      </c>
    </row>
    <row r="7" spans="1:13" x14ac:dyDescent="0.3">
      <c r="A7" s="7"/>
      <c r="B7" s="9">
        <v>105</v>
      </c>
      <c r="C7" s="7" t="e">
        <f t="shared" ca="1" si="0"/>
        <v>#NAME?</v>
      </c>
      <c r="D7" s="7"/>
      <c r="E7" s="7"/>
      <c r="F7" s="7"/>
      <c r="G7" s="7"/>
      <c r="H7" s="7"/>
      <c r="I7" s="10" t="s">
        <v>18</v>
      </c>
      <c r="J7" s="10" t="s">
        <v>19</v>
      </c>
      <c r="K7" s="10" t="s">
        <v>20</v>
      </c>
      <c r="L7" s="10">
        <v>34</v>
      </c>
      <c r="M7" s="9">
        <v>105</v>
      </c>
    </row>
    <row r="8" spans="1:13" x14ac:dyDescent="0.3">
      <c r="A8" s="7"/>
      <c r="B8" s="9">
        <v>106</v>
      </c>
      <c r="C8" s="7" t="e">
        <f t="shared" ca="1" si="0"/>
        <v>#NAME?</v>
      </c>
      <c r="D8" s="7"/>
      <c r="E8" s="7"/>
      <c r="F8" s="7"/>
      <c r="G8" s="7"/>
      <c r="H8" s="7"/>
      <c r="I8" s="10" t="s">
        <v>21</v>
      </c>
      <c r="J8" s="10" t="s">
        <v>22</v>
      </c>
      <c r="K8" s="10" t="s">
        <v>23</v>
      </c>
      <c r="L8" s="10">
        <v>54</v>
      </c>
      <c r="M8" s="9">
        <v>106</v>
      </c>
    </row>
    <row r="9" spans="1:13" x14ac:dyDescent="0.3">
      <c r="A9" s="7"/>
      <c r="B9" s="9">
        <v>107</v>
      </c>
      <c r="C9" s="7" t="e">
        <f t="shared" ca="1" si="0"/>
        <v>#NAME?</v>
      </c>
      <c r="D9" s="7"/>
      <c r="E9" s="7"/>
      <c r="F9" s="7"/>
      <c r="G9" s="7"/>
      <c r="H9" s="7"/>
      <c r="I9" s="10" t="s">
        <v>24</v>
      </c>
      <c r="J9" s="10" t="s">
        <v>25</v>
      </c>
      <c r="K9" s="10" t="s">
        <v>26</v>
      </c>
      <c r="L9" s="10">
        <v>30</v>
      </c>
      <c r="M9" s="9">
        <v>107</v>
      </c>
    </row>
    <row r="10" spans="1:13" x14ac:dyDescent="0.3">
      <c r="A10" s="7"/>
      <c r="B10" s="9">
        <v>108</v>
      </c>
      <c r="C10" s="7" t="e">
        <f t="shared" ca="1" si="0"/>
        <v>#NAME?</v>
      </c>
      <c r="D10" s="7"/>
      <c r="E10" s="7"/>
      <c r="F10" s="7"/>
      <c r="G10" s="7"/>
      <c r="H10" s="7"/>
      <c r="I10" s="10" t="s">
        <v>27</v>
      </c>
      <c r="J10" s="10" t="s">
        <v>28</v>
      </c>
      <c r="K10" s="10" t="s">
        <v>29</v>
      </c>
      <c r="L10" s="10">
        <v>10</v>
      </c>
      <c r="M10" s="9">
        <v>108</v>
      </c>
    </row>
    <row r="11" spans="1:13" x14ac:dyDescent="0.3">
      <c r="A11" s="7"/>
      <c r="B11" s="9">
        <v>109</v>
      </c>
      <c r="C11" s="7" t="e">
        <f t="shared" ca="1" si="0"/>
        <v>#NAME?</v>
      </c>
      <c r="D11" s="7"/>
      <c r="E11" s="7"/>
      <c r="F11" s="7"/>
      <c r="G11" s="7"/>
      <c r="H11" s="7"/>
      <c r="I11" s="10" t="s">
        <v>30</v>
      </c>
      <c r="J11" s="10" t="s">
        <v>31</v>
      </c>
      <c r="K11" s="10" t="s">
        <v>32</v>
      </c>
      <c r="L11" s="10">
        <v>20</v>
      </c>
      <c r="M11" s="9">
        <v>109</v>
      </c>
    </row>
    <row r="12" spans="1:13" x14ac:dyDescent="0.3">
      <c r="A12" s="7"/>
      <c r="B12" s="9">
        <v>110</v>
      </c>
      <c r="C12" s="7" t="e">
        <f t="shared" ca="1" si="0"/>
        <v>#NAME?</v>
      </c>
      <c r="D12" s="7"/>
      <c r="E12" s="7"/>
      <c r="F12" s="7"/>
      <c r="G12" s="7"/>
      <c r="H12" s="7"/>
      <c r="I12" s="10" t="s">
        <v>33</v>
      </c>
      <c r="J12" s="10" t="s">
        <v>34</v>
      </c>
      <c r="K12" s="10" t="s">
        <v>35</v>
      </c>
      <c r="L12" s="10">
        <v>25</v>
      </c>
      <c r="M12" s="9">
        <v>110</v>
      </c>
    </row>
  </sheetData>
  <mergeCells count="1">
    <mergeCell ref="C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Sheet1</vt:lpstr>
      <vt:lpstr>Match</vt:lpstr>
      <vt:lpstr>MatchAndIndex</vt:lpstr>
      <vt:lpstr>Sheet2</vt:lpstr>
      <vt:lpstr>MatchAndIndex-2</vt:lpstr>
      <vt:lpstr>Sheet3</vt:lpstr>
      <vt:lpstr>=XLOOKUP()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2026-07-15T05:19:47Z</dcterms:modified>
</cp:coreProperties>
</file>