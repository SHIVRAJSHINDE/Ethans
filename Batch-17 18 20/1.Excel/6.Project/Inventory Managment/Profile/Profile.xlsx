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Package WiseSale" sheetId="2" r:id="rId1"/>
    <sheet name="Sheet3" sheetId="3" r:id="rId2"/>
    <sheet name="Sheet1" sheetId="1" r:id="rId3"/>
  </sheets>
  <calcPr calcId="162913"/>
  <pivotCaches>
    <pivotCache cacheId="33" r:id="rId4"/>
    <pivotCache cacheId="4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3" l="1"/>
  <c r="E34" i="3"/>
  <c r="E33" i="3"/>
  <c r="E32" i="3"/>
  <c r="E31" i="3"/>
  <c r="E30" i="3"/>
  <c r="E29" i="3"/>
  <c r="E28" i="3"/>
  <c r="E27" i="3"/>
  <c r="E26" i="3"/>
  <c r="E25" i="3"/>
  <c r="E24" i="3"/>
  <c r="E23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G11" i="2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<sst xmlns="http://schemas.openxmlformats.org/spreadsheetml/2006/main" count="159" uniqueCount="21">
  <si>
    <t>Tour Date</t>
  </si>
  <si>
    <t>Tour Name</t>
  </si>
  <si>
    <t>Gaurav Yatra - Mini Europe - Summer 2019</t>
  </si>
  <si>
    <t>Swiss Glory - Summer 2019 - NRI ROW</t>
  </si>
  <si>
    <t>European Charm - Summer 2019</t>
  </si>
  <si>
    <t>Gaurav Yatra - Magical Europe - Summer 2019</t>
  </si>
  <si>
    <t>Taste of Europe - Summer 2019</t>
  </si>
  <si>
    <t>European Whirl - Summer 2019</t>
  </si>
  <si>
    <t>French Swiss Medley - Summer 2019</t>
  </si>
  <si>
    <t>Marvels Of Europe - Summer 2019</t>
  </si>
  <si>
    <t>Adult</t>
  </si>
  <si>
    <t>Child</t>
  </si>
  <si>
    <t>Infant</t>
  </si>
  <si>
    <t>Customer</t>
  </si>
  <si>
    <t>Sale</t>
  </si>
  <si>
    <t>Row Labels</t>
  </si>
  <si>
    <t>Grand Total</t>
  </si>
  <si>
    <t>Sum of Sale</t>
  </si>
  <si>
    <t>PKG Name</t>
  </si>
  <si>
    <t>Total Sale</t>
  </si>
  <si>
    <t>Count of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</si>
</sst>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5" fontId="1" fillId="2" borderId="1" xfId="0" applyNumberFormat="1" applyFont="1" applyFill="1" applyBorder="1"/>
    <xf numFmtId="0" fontId="1" fillId="2" borderId="1" xfId="0" applyFont="1" applyFill="1" applyBorder="1"/>
    <xf numFmtId="15" fontId="0" fillId="3" borderId="1" xfId="0" applyNumberFormat="1" applyFont="1" applyFill="1" applyBorder="1"/>
    <xf numFmtId="0" fontId="0" fillId="3" borderId="1" xfId="0" applyFont="1" applyFill="1" applyBorder="1"/>
    <xf numFmtId="15" fontId="0" fillId="0" borderId="1" xfId="0" applyNumberFormat="1" applyFont="1" applyBorder="1"/>
    <xf numFmtId="0" fontId="0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0" borderId="0" xfId="0" applyNumberFormat="1"/>
    <xf numFmtId="0" fontId="2" fillId="3" borderId="2" xfId="0" applyFont="1" applyFill="1" applyBorder="1"/>
    <xf numFmtId="15" fontId="0" fillId="0" borderId="0" xfId="0" applyNumberFormat="1"/>
    <xf numFmtId="0" fontId="2" fillId="0" borderId="0" xfId="0" applyFont="1"/>
    <xf numFmtId="0" fontId="2" fillId="0" borderId="2" xfId="0" applyFont="1" applyBorder="1"/>
    <xf numFmtId="15" fontId="0" fillId="3" borderId="3" xfId="0" applyNumberFormat="1" applyFont="1" applyFill="1" applyBorder="1"/>
    <xf numFmtId="0" fontId="0" fillId="3" borderId="3" xfId="0" applyFont="1" applyFill="1" applyBorder="1"/>
    <xf numFmtId="0" fontId="0" fillId="0" borderId="0" xfId="0" applyBorder="1"/>
    <xf numFmtId="0" fontId="3" fillId="4" borderId="0" xfId="0" applyNumberFormat="1" applyFont="1" applyFill="1"/>
  </cellXfs>
  <cellStyles count="1">
    <cellStyle name="Normal" xfId="0" builtinId="0"/>
  </cellStyles>
  <dxfs count="5">
    <dxf>
      <font>
        <color auto="1"/>
      </font>
    </dxf>
    <dxf>
      <font>
        <color theme="9" tint="0.39997558519241921"/>
      </font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0" formatCode="dd/mmm/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19.489623842594" createdVersion="6" refreshedVersion="6" minRefreshableVersion="3" recordCount="39">
  <cacheSource type="worksheet">
    <worksheetSource ref="A1:D47" sheet="Sheet1"/>
  </cacheSource>
  <cacheFields count="4">
    <cacheField name="Tour Date" numFmtId="15">
      <sharedItems containsSemiMixedTypes="0" containsNonDate="0" containsDate="1" containsString="0" minDate="2026-08-02T00:00:00" maxDate="2026-08-15T00:00:00"/>
    </cacheField>
    <cacheField name="Tour Name" numFmtId="0">
      <sharedItems count="8">
        <s v="Gaurav Yatra - Mini Europe - Summer 2019"/>
        <s v="Swiss Glory - Summer 2019 - NRI ROW"/>
        <s v="European Charm - Summer 2019"/>
        <s v="Gaurav Yatra - Magical Europe - Summer 2019"/>
        <s v="Taste of Europe - Summer 2019"/>
        <s v="European Whirl - Summer 2019"/>
        <s v="French Swiss Medley - Summer 2019"/>
        <s v="Marvels Of Europe - Summer 2019"/>
      </sharedItems>
    </cacheField>
    <cacheField name="Customer" numFmtId="0">
      <sharedItems/>
    </cacheField>
    <cacheField name="Sale" numFmtId="0">
      <sharedItems containsSemiMixedTypes="0" containsString="0" containsNumber="1" containsInteger="1" minValue="53" maxValue="3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219.493853472224" createdVersion="6" refreshedVersion="6" minRefreshableVersion="3" recordCount="46">
  <cacheSource type="worksheet">
    <worksheetSource name="RawData"/>
  </cacheSource>
  <cacheFields count="4">
    <cacheField name="Tour Date" numFmtId="15">
      <sharedItems containsSemiMixedTypes="0" containsNonDate="0" containsDate="1" containsString="0" minDate="2026-08-02T00:00:00" maxDate="2026-08-15T00:00:00" count="13"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</sharedItems>
    </cacheField>
    <cacheField name="Tour Name" numFmtId="0">
      <sharedItems containsBlank="1" count="9">
        <s v="Gaurav Yatra - Mini Europe - Summer 2019"/>
        <s v="Swiss Glory - Summer 2019 - NRI ROW"/>
        <s v="European Charm - Summer 2019"/>
        <s v="Gaurav Yatra - Magical Europe - Summer 2019"/>
        <s v="Taste of Europe - Summer 2019"/>
        <s v="European Whirl - Summer 2019"/>
        <s v="French Swiss Medley - Summer 2019"/>
        <s v="Marvels Of Europe - Summer 2019"/>
        <m u="1"/>
      </sharedItems>
    </cacheField>
    <cacheField name="Customer" numFmtId="0">
      <sharedItems containsBlank="1" count="4">
        <s v="Adult"/>
        <s v="Child"/>
        <s v="Infant"/>
        <m u="1"/>
      </sharedItems>
    </cacheField>
    <cacheField name="Sale" numFmtId="0">
      <sharedItems containsSemiMixedTypes="0" containsString="0" containsNumber="1" containsInteger="1" minValue="53" maxValue="3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">
  <r>
    <d v="2026-08-02T00:00:00"/>
    <x v="0"/>
    <s v="Adult"/>
    <n v="293"/>
  </r>
  <r>
    <d v="2026-08-03T00:00:00"/>
    <x v="1"/>
    <s v="Adult"/>
    <n v="303"/>
  </r>
  <r>
    <d v="2026-08-04T00:00:00"/>
    <x v="2"/>
    <s v="Adult"/>
    <n v="310"/>
  </r>
  <r>
    <d v="2026-08-05T00:00:00"/>
    <x v="0"/>
    <s v="Adult"/>
    <n v="275"/>
  </r>
  <r>
    <d v="2026-08-06T00:00:00"/>
    <x v="2"/>
    <s v="Adult"/>
    <n v="256"/>
  </r>
  <r>
    <d v="2026-08-07T00:00:00"/>
    <x v="3"/>
    <s v="Adult"/>
    <n v="317"/>
  </r>
  <r>
    <d v="2026-08-08T00:00:00"/>
    <x v="4"/>
    <s v="Adult"/>
    <n v="308"/>
  </r>
  <r>
    <d v="2026-08-09T00:00:00"/>
    <x v="1"/>
    <s v="Adult"/>
    <n v="315"/>
  </r>
  <r>
    <d v="2026-08-10T00:00:00"/>
    <x v="5"/>
    <s v="Adult"/>
    <n v="282"/>
  </r>
  <r>
    <d v="2026-08-11T00:00:00"/>
    <x v="0"/>
    <s v="Adult"/>
    <n v="300"/>
  </r>
  <r>
    <d v="2026-08-12T00:00:00"/>
    <x v="2"/>
    <s v="Adult"/>
    <n v="262"/>
  </r>
  <r>
    <d v="2026-08-13T00:00:00"/>
    <x v="6"/>
    <s v="Adult"/>
    <n v="321"/>
  </r>
  <r>
    <d v="2026-08-14T00:00:00"/>
    <x v="7"/>
    <s v="Adult"/>
    <n v="304"/>
  </r>
  <r>
    <d v="2026-08-02T00:00:00"/>
    <x v="0"/>
    <s v="Child"/>
    <n v="181"/>
  </r>
  <r>
    <d v="2026-08-03T00:00:00"/>
    <x v="1"/>
    <s v="Child"/>
    <n v="164"/>
  </r>
  <r>
    <d v="2026-08-04T00:00:00"/>
    <x v="2"/>
    <s v="Child"/>
    <n v="194"/>
  </r>
  <r>
    <d v="2026-08-05T00:00:00"/>
    <x v="0"/>
    <s v="Child"/>
    <n v="165"/>
  </r>
  <r>
    <d v="2026-08-06T00:00:00"/>
    <x v="2"/>
    <s v="Child"/>
    <n v="195"/>
  </r>
  <r>
    <d v="2026-08-07T00:00:00"/>
    <x v="3"/>
    <s v="Child"/>
    <n v="175"/>
  </r>
  <r>
    <d v="2026-08-08T00:00:00"/>
    <x v="4"/>
    <s v="Child"/>
    <n v="189"/>
  </r>
  <r>
    <d v="2026-08-09T00:00:00"/>
    <x v="1"/>
    <s v="Child"/>
    <n v="184"/>
  </r>
  <r>
    <d v="2026-08-10T00:00:00"/>
    <x v="5"/>
    <s v="Child"/>
    <n v="198"/>
  </r>
  <r>
    <d v="2026-08-11T00:00:00"/>
    <x v="0"/>
    <s v="Child"/>
    <n v="167"/>
  </r>
  <r>
    <d v="2026-08-12T00:00:00"/>
    <x v="2"/>
    <s v="Child"/>
    <n v="194"/>
  </r>
  <r>
    <d v="2026-08-13T00:00:00"/>
    <x v="6"/>
    <s v="Child"/>
    <n v="194"/>
  </r>
  <r>
    <d v="2026-08-14T00:00:00"/>
    <x v="7"/>
    <s v="Child"/>
    <n v="189"/>
  </r>
  <r>
    <d v="2026-08-02T00:00:00"/>
    <x v="0"/>
    <s v="Infant"/>
    <n v="55"/>
  </r>
  <r>
    <d v="2026-08-03T00:00:00"/>
    <x v="1"/>
    <s v="Infant"/>
    <n v="53"/>
  </r>
  <r>
    <d v="2026-08-04T00:00:00"/>
    <x v="2"/>
    <s v="Infant"/>
    <n v="66"/>
  </r>
  <r>
    <d v="2026-08-05T00:00:00"/>
    <x v="0"/>
    <s v="Infant"/>
    <n v="69"/>
  </r>
  <r>
    <d v="2026-08-06T00:00:00"/>
    <x v="2"/>
    <s v="Infant"/>
    <n v="61"/>
  </r>
  <r>
    <d v="2026-08-07T00:00:00"/>
    <x v="3"/>
    <s v="Infant"/>
    <n v="55"/>
  </r>
  <r>
    <d v="2026-08-08T00:00:00"/>
    <x v="4"/>
    <s v="Infant"/>
    <n v="61"/>
  </r>
  <r>
    <d v="2026-08-09T00:00:00"/>
    <x v="1"/>
    <s v="Infant"/>
    <n v="67"/>
  </r>
  <r>
    <d v="2026-08-10T00:00:00"/>
    <x v="5"/>
    <s v="Infant"/>
    <n v="53"/>
  </r>
  <r>
    <d v="2026-08-11T00:00:00"/>
    <x v="0"/>
    <s v="Infant"/>
    <n v="65"/>
  </r>
  <r>
    <d v="2026-08-12T00:00:00"/>
    <x v="2"/>
    <s v="Infant"/>
    <n v="64"/>
  </r>
  <r>
    <d v="2026-08-13T00:00:00"/>
    <x v="6"/>
    <s v="Infant"/>
    <n v="59"/>
  </r>
  <r>
    <d v="2026-08-14T00:00:00"/>
    <x v="7"/>
    <s v="Infant"/>
    <n v="5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6">
  <r>
    <x v="0"/>
    <x v="0"/>
    <x v="0"/>
    <n v="293"/>
  </r>
  <r>
    <x v="1"/>
    <x v="1"/>
    <x v="0"/>
    <n v="303"/>
  </r>
  <r>
    <x v="2"/>
    <x v="2"/>
    <x v="0"/>
    <n v="310"/>
  </r>
  <r>
    <x v="3"/>
    <x v="0"/>
    <x v="0"/>
    <n v="275"/>
  </r>
  <r>
    <x v="4"/>
    <x v="2"/>
    <x v="0"/>
    <n v="256"/>
  </r>
  <r>
    <x v="5"/>
    <x v="3"/>
    <x v="0"/>
    <n v="317"/>
  </r>
  <r>
    <x v="6"/>
    <x v="4"/>
    <x v="0"/>
    <n v="308"/>
  </r>
  <r>
    <x v="7"/>
    <x v="1"/>
    <x v="0"/>
    <n v="315"/>
  </r>
  <r>
    <x v="8"/>
    <x v="5"/>
    <x v="0"/>
    <n v="282"/>
  </r>
  <r>
    <x v="9"/>
    <x v="0"/>
    <x v="0"/>
    <n v="300"/>
  </r>
  <r>
    <x v="10"/>
    <x v="2"/>
    <x v="0"/>
    <n v="262"/>
  </r>
  <r>
    <x v="11"/>
    <x v="6"/>
    <x v="0"/>
    <n v="321"/>
  </r>
  <r>
    <x v="12"/>
    <x v="7"/>
    <x v="0"/>
    <n v="304"/>
  </r>
  <r>
    <x v="0"/>
    <x v="0"/>
    <x v="1"/>
    <n v="181"/>
  </r>
  <r>
    <x v="1"/>
    <x v="1"/>
    <x v="1"/>
    <n v="164"/>
  </r>
  <r>
    <x v="2"/>
    <x v="2"/>
    <x v="1"/>
    <n v="194"/>
  </r>
  <r>
    <x v="3"/>
    <x v="0"/>
    <x v="1"/>
    <n v="165"/>
  </r>
  <r>
    <x v="4"/>
    <x v="2"/>
    <x v="1"/>
    <n v="195"/>
  </r>
  <r>
    <x v="5"/>
    <x v="3"/>
    <x v="1"/>
    <n v="175"/>
  </r>
  <r>
    <x v="6"/>
    <x v="4"/>
    <x v="1"/>
    <n v="189"/>
  </r>
  <r>
    <x v="7"/>
    <x v="1"/>
    <x v="1"/>
    <n v="184"/>
  </r>
  <r>
    <x v="8"/>
    <x v="5"/>
    <x v="1"/>
    <n v="198"/>
  </r>
  <r>
    <x v="9"/>
    <x v="0"/>
    <x v="1"/>
    <n v="167"/>
  </r>
  <r>
    <x v="10"/>
    <x v="2"/>
    <x v="1"/>
    <n v="194"/>
  </r>
  <r>
    <x v="11"/>
    <x v="6"/>
    <x v="1"/>
    <n v="194"/>
  </r>
  <r>
    <x v="12"/>
    <x v="7"/>
    <x v="1"/>
    <n v="189"/>
  </r>
  <r>
    <x v="0"/>
    <x v="0"/>
    <x v="2"/>
    <n v="55"/>
  </r>
  <r>
    <x v="1"/>
    <x v="1"/>
    <x v="2"/>
    <n v="53"/>
  </r>
  <r>
    <x v="2"/>
    <x v="2"/>
    <x v="2"/>
    <n v="66"/>
  </r>
  <r>
    <x v="3"/>
    <x v="0"/>
    <x v="2"/>
    <n v="69"/>
  </r>
  <r>
    <x v="4"/>
    <x v="2"/>
    <x v="2"/>
    <n v="61"/>
  </r>
  <r>
    <x v="5"/>
    <x v="3"/>
    <x v="2"/>
    <n v="55"/>
  </r>
  <r>
    <x v="6"/>
    <x v="4"/>
    <x v="2"/>
    <n v="61"/>
  </r>
  <r>
    <x v="7"/>
    <x v="1"/>
    <x v="2"/>
    <n v="67"/>
  </r>
  <r>
    <x v="8"/>
    <x v="5"/>
    <x v="2"/>
    <n v="53"/>
  </r>
  <r>
    <x v="9"/>
    <x v="0"/>
    <x v="2"/>
    <n v="65"/>
  </r>
  <r>
    <x v="10"/>
    <x v="2"/>
    <x v="2"/>
    <n v="64"/>
  </r>
  <r>
    <x v="11"/>
    <x v="6"/>
    <x v="2"/>
    <n v="59"/>
  </r>
  <r>
    <x v="12"/>
    <x v="7"/>
    <x v="2"/>
    <n v="53"/>
  </r>
  <r>
    <x v="0"/>
    <x v="0"/>
    <x v="0"/>
    <n v="293"/>
  </r>
  <r>
    <x v="1"/>
    <x v="1"/>
    <x v="0"/>
    <n v="303"/>
  </r>
  <r>
    <x v="2"/>
    <x v="2"/>
    <x v="0"/>
    <n v="310"/>
  </r>
  <r>
    <x v="3"/>
    <x v="0"/>
    <x v="0"/>
    <n v="275"/>
  </r>
  <r>
    <x v="8"/>
    <x v="5"/>
    <x v="2"/>
    <n v="53"/>
  </r>
  <r>
    <x v="9"/>
    <x v="0"/>
    <x v="2"/>
    <n v="65"/>
  </r>
  <r>
    <x v="10"/>
    <x v="2"/>
    <x v="2"/>
    <n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3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/>
  <pivotFields count="4">
    <pivotField numFmtId="15" showAll="0"/>
    <pivotField axis="axisRow" showAll="0">
      <items count="9">
        <item x="2"/>
        <item x="5"/>
        <item x="6"/>
        <item x="3"/>
        <item x="0"/>
        <item x="7"/>
        <item x="1"/>
        <item x="4"/>
        <item t="default"/>
      </items>
    </pivotField>
    <pivotField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4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F18" firstHeaderRow="1" firstDataRow="2" firstDataCol="2"/>
  <pivotFields count="4">
    <pivotField axis="axisRow" compact="0" numFmtId="15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5"/>
        <item x="6"/>
        <item x="3"/>
        <item x="0"/>
        <item x="7"/>
        <item x="1"/>
        <item x="4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14">
    <i>
      <x/>
      <x v="2"/>
    </i>
    <i r="1">
      <x v="4"/>
    </i>
    <i r="1">
      <x v="10"/>
    </i>
    <i>
      <x v="1"/>
      <x v="8"/>
    </i>
    <i>
      <x v="2"/>
      <x v="11"/>
    </i>
    <i>
      <x v="3"/>
      <x v="5"/>
    </i>
    <i>
      <x v="4"/>
      <x/>
    </i>
    <i r="1">
      <x v="3"/>
    </i>
    <i r="1">
      <x v="9"/>
    </i>
    <i>
      <x v="5"/>
      <x v="12"/>
    </i>
    <i>
      <x v="6"/>
      <x v="1"/>
    </i>
    <i r="1">
      <x v="7"/>
    </i>
    <i>
      <x v="7"/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Customer" fld="2" subtotal="count" baseField="0" baseItem="0"/>
  </dataFields>
  <formats count="3">
    <format dxfId="2">
      <pivotArea outline="0" collapsedLevelsAreSubtotals="1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</references>
      </pivotArea>
    </format>
    <format dxfId="1">
      <pivotArea outline="0" collapsedLevelsAreSubtotals="1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</references>
      </pivotArea>
    </format>
    <format dxfId="0">
      <pivotArea outline="0" collapsedLevelsAreSubtotals="1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ables/table1.xml><?xml version="1.0" encoding="utf-8"?>
<table xmlns="http://schemas.openxmlformats.org/spreadsheetml/2006/main" id="1" name="RawData" displayName="RawData" ref="A1:D47" totalsRowShown="0">
  <autoFilter ref="A1:D47"/>
  <tableColumns count="4">
    <tableColumn id="1" name="Tour Date" dataDxfId="4"/>
    <tableColumn id="2" name="Tour Name" dataDxfId="3"/>
    <tableColumn id="3" name="Customer"/>
    <tableColumn id="4" name="S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2"/>
  <sheetViews>
    <sheetView workbookViewId="0">
      <selection activeCell="F13" sqref="F13"/>
    </sheetView>
  </sheetViews>
  <sheetFormatPr defaultRowHeight="14.4" x14ac:dyDescent="0.3"/>
  <cols>
    <col min="1" max="1" width="39.109375" bestFit="1" customWidth="1"/>
    <col min="2" max="2" width="10.88671875" bestFit="1" customWidth="1"/>
    <col min="6" max="6" width="39.109375" bestFit="1" customWidth="1"/>
  </cols>
  <sheetData>
    <row r="3" spans="1:7" x14ac:dyDescent="0.3">
      <c r="A3" s="7" t="s">
        <v>15</v>
      </c>
      <c r="B3" t="s">
        <v>17</v>
      </c>
      <c r="F3" s="11" t="s">
        <v>18</v>
      </c>
      <c r="G3" s="11" t="s">
        <v>19</v>
      </c>
    </row>
    <row r="4" spans="1:7" x14ac:dyDescent="0.3">
      <c r="A4" s="8" t="s">
        <v>4</v>
      </c>
      <c r="B4" s="10">
        <v>1602</v>
      </c>
      <c r="F4" s="8" t="s">
        <v>4</v>
      </c>
      <c r="G4">
        <f>SUMIF(RawData[[#All],[Tour Name]],'Package WiseSale'!F4,RawData[[#All],[Sale]])</f>
        <v>1976</v>
      </c>
    </row>
    <row r="5" spans="1:7" x14ac:dyDescent="0.3">
      <c r="A5" s="8" t="s">
        <v>7</v>
      </c>
      <c r="B5" s="10">
        <v>533</v>
      </c>
      <c r="F5" s="8" t="s">
        <v>7</v>
      </c>
      <c r="G5">
        <f>SUMIF(RawData[[#All],[Tour Name]],'Package WiseSale'!F5,RawData[[#All],[Sale]])</f>
        <v>586</v>
      </c>
    </row>
    <row r="6" spans="1:7" x14ac:dyDescent="0.3">
      <c r="A6" s="8" t="s">
        <v>8</v>
      </c>
      <c r="B6" s="10">
        <v>574</v>
      </c>
      <c r="F6" s="8" t="s">
        <v>8</v>
      </c>
      <c r="G6">
        <f>SUMIF(RawData[[#All],[Tour Name]],'Package WiseSale'!F6,RawData[[#All],[Sale]])</f>
        <v>574</v>
      </c>
    </row>
    <row r="7" spans="1:7" x14ac:dyDescent="0.3">
      <c r="A7" s="8" t="s">
        <v>5</v>
      </c>
      <c r="B7" s="10">
        <v>547</v>
      </c>
      <c r="F7" s="8" t="s">
        <v>5</v>
      </c>
      <c r="G7">
        <f>SUMIF(RawData[[#All],[Tour Name]],'Package WiseSale'!F7,RawData[[#All],[Sale]])</f>
        <v>547</v>
      </c>
    </row>
    <row r="8" spans="1:7" x14ac:dyDescent="0.3">
      <c r="A8" s="8" t="s">
        <v>2</v>
      </c>
      <c r="B8" s="10">
        <v>1570</v>
      </c>
      <c r="F8" s="8" t="s">
        <v>2</v>
      </c>
      <c r="G8">
        <f>SUMIF(RawData[[#All],[Tour Name]],'Package WiseSale'!F8,RawData[[#All],[Sale]])</f>
        <v>2203</v>
      </c>
    </row>
    <row r="9" spans="1:7" x14ac:dyDescent="0.3">
      <c r="A9" s="8" t="s">
        <v>9</v>
      </c>
      <c r="B9" s="10">
        <v>546</v>
      </c>
      <c r="F9" s="8" t="s">
        <v>9</v>
      </c>
      <c r="G9">
        <f>SUMIF(RawData[[#All],[Tour Name]],'Package WiseSale'!F9,RawData[[#All],[Sale]])</f>
        <v>546</v>
      </c>
    </row>
    <row r="10" spans="1:7" x14ac:dyDescent="0.3">
      <c r="A10" s="8" t="s">
        <v>3</v>
      </c>
      <c r="B10" s="10">
        <v>1086</v>
      </c>
      <c r="F10" s="8" t="s">
        <v>3</v>
      </c>
      <c r="G10">
        <f>SUMIF(RawData[[#All],[Tour Name]],'Package WiseSale'!F10,RawData[[#All],[Sale]])</f>
        <v>1389</v>
      </c>
    </row>
    <row r="11" spans="1:7" x14ac:dyDescent="0.3">
      <c r="A11" s="8" t="s">
        <v>6</v>
      </c>
      <c r="B11" s="10">
        <v>558</v>
      </c>
      <c r="F11" s="8" t="s">
        <v>6</v>
      </c>
      <c r="G11">
        <f>SUMIF(RawData[[#All],[Tour Name]],'Package WiseSale'!F11,RawData[[#All],[Sale]])</f>
        <v>558</v>
      </c>
    </row>
    <row r="12" spans="1:7" x14ac:dyDescent="0.3">
      <c r="A12" s="8" t="s">
        <v>16</v>
      </c>
      <c r="B12" s="10">
        <v>7016</v>
      </c>
      <c r="F12" s="9" t="s">
        <v>16</v>
      </c>
      <c r="G1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5"/>
  <sheetViews>
    <sheetView tabSelected="1" zoomScale="128" workbookViewId="0">
      <selection activeCell="D8" sqref="D8"/>
    </sheetView>
  </sheetViews>
  <sheetFormatPr defaultRowHeight="14.4" x14ac:dyDescent="0.3"/>
  <cols>
    <col min="1" max="1" width="42.21875" bestFit="1" customWidth="1"/>
    <col min="2" max="2" width="11.44140625" bestFit="1" customWidth="1"/>
    <col min="3" max="5" width="11.33203125" bestFit="1" customWidth="1"/>
    <col min="6" max="6" width="10.77734375" customWidth="1"/>
    <col min="7" max="7" width="10.77734375" bestFit="1" customWidth="1"/>
  </cols>
  <sheetData>
    <row r="3" spans="1:6" x14ac:dyDescent="0.3">
      <c r="A3" s="7" t="s">
        <v>20</v>
      </c>
      <c r="C3" s="7" t="s">
        <v>13</v>
      </c>
    </row>
    <row r="4" spans="1:6" x14ac:dyDescent="0.3">
      <c r="A4" s="7" t="s">
        <v>1</v>
      </c>
      <c r="B4" s="7" t="s">
        <v>0</v>
      </c>
      <c r="C4" t="s">
        <v>10</v>
      </c>
      <c r="D4" t="s">
        <v>11</v>
      </c>
      <c r="E4" t="s">
        <v>12</v>
      </c>
      <c r="F4" t="s">
        <v>16</v>
      </c>
    </row>
    <row r="5" spans="1:6" x14ac:dyDescent="0.3">
      <c r="A5" t="s">
        <v>4</v>
      </c>
      <c r="B5" s="12">
        <v>46238</v>
      </c>
      <c r="C5" s="18">
        <v>2</v>
      </c>
      <c r="D5" s="10">
        <v>1</v>
      </c>
      <c r="E5" s="10">
        <v>1</v>
      </c>
      <c r="F5" s="10">
        <v>4</v>
      </c>
    </row>
    <row r="6" spans="1:6" x14ac:dyDescent="0.3">
      <c r="A6" t="s">
        <v>4</v>
      </c>
      <c r="B6" s="12">
        <v>46240</v>
      </c>
      <c r="C6" s="10">
        <v>1</v>
      </c>
      <c r="D6" s="10">
        <v>1</v>
      </c>
      <c r="E6" s="10">
        <v>1</v>
      </c>
      <c r="F6" s="10">
        <v>3</v>
      </c>
    </row>
    <row r="7" spans="1:6" x14ac:dyDescent="0.3">
      <c r="A7" t="s">
        <v>4</v>
      </c>
      <c r="B7" s="12">
        <v>46246</v>
      </c>
      <c r="C7" s="10">
        <v>1</v>
      </c>
      <c r="D7" s="10">
        <v>1</v>
      </c>
      <c r="E7" s="10">
        <v>2</v>
      </c>
      <c r="F7" s="10">
        <v>4</v>
      </c>
    </row>
    <row r="8" spans="1:6" x14ac:dyDescent="0.3">
      <c r="A8" t="s">
        <v>7</v>
      </c>
      <c r="B8" s="12">
        <v>46244</v>
      </c>
      <c r="C8" s="10">
        <v>1</v>
      </c>
      <c r="D8" s="10">
        <v>1</v>
      </c>
      <c r="E8" s="10">
        <v>2</v>
      </c>
      <c r="F8" s="10">
        <v>4</v>
      </c>
    </row>
    <row r="9" spans="1:6" x14ac:dyDescent="0.3">
      <c r="A9" t="s">
        <v>8</v>
      </c>
      <c r="B9" s="12">
        <v>46247</v>
      </c>
      <c r="C9" s="10">
        <v>1</v>
      </c>
      <c r="D9" s="10">
        <v>1</v>
      </c>
      <c r="E9" s="10">
        <v>1</v>
      </c>
      <c r="F9" s="10">
        <v>3</v>
      </c>
    </row>
    <row r="10" spans="1:6" x14ac:dyDescent="0.3">
      <c r="A10" t="s">
        <v>5</v>
      </c>
      <c r="B10" s="12">
        <v>46241</v>
      </c>
      <c r="C10" s="10">
        <v>1</v>
      </c>
      <c r="D10" s="10">
        <v>1</v>
      </c>
      <c r="E10" s="10">
        <v>1</v>
      </c>
      <c r="F10" s="10">
        <v>3</v>
      </c>
    </row>
    <row r="11" spans="1:6" x14ac:dyDescent="0.3">
      <c r="A11" t="s">
        <v>2</v>
      </c>
      <c r="B11" s="12">
        <v>46236</v>
      </c>
      <c r="C11" s="10">
        <v>2</v>
      </c>
      <c r="D11" s="10">
        <v>1</v>
      </c>
      <c r="E11" s="10">
        <v>1</v>
      </c>
      <c r="F11" s="10">
        <v>4</v>
      </c>
    </row>
    <row r="12" spans="1:6" x14ac:dyDescent="0.3">
      <c r="A12" t="s">
        <v>2</v>
      </c>
      <c r="B12" s="12">
        <v>46239</v>
      </c>
      <c r="C12" s="10">
        <v>2</v>
      </c>
      <c r="D12" s="10">
        <v>1</v>
      </c>
      <c r="E12" s="10">
        <v>1</v>
      </c>
      <c r="F12" s="10">
        <v>4</v>
      </c>
    </row>
    <row r="13" spans="1:6" x14ac:dyDescent="0.3">
      <c r="A13" t="s">
        <v>2</v>
      </c>
      <c r="B13" s="12">
        <v>46245</v>
      </c>
      <c r="C13" s="10">
        <v>1</v>
      </c>
      <c r="D13" s="10">
        <v>1</v>
      </c>
      <c r="E13" s="10">
        <v>2</v>
      </c>
      <c r="F13" s="10">
        <v>4</v>
      </c>
    </row>
    <row r="14" spans="1:6" x14ac:dyDescent="0.3">
      <c r="A14" t="s">
        <v>9</v>
      </c>
      <c r="B14" s="12">
        <v>46248</v>
      </c>
      <c r="C14" s="10">
        <v>1</v>
      </c>
      <c r="D14" s="10">
        <v>1</v>
      </c>
      <c r="E14" s="10">
        <v>1</v>
      </c>
      <c r="F14" s="10">
        <v>3</v>
      </c>
    </row>
    <row r="15" spans="1:6" x14ac:dyDescent="0.3">
      <c r="A15" t="s">
        <v>3</v>
      </c>
      <c r="B15" s="12">
        <v>46237</v>
      </c>
      <c r="C15" s="10">
        <v>2</v>
      </c>
      <c r="D15" s="10">
        <v>1</v>
      </c>
      <c r="E15" s="10">
        <v>1</v>
      </c>
      <c r="F15" s="10">
        <v>4</v>
      </c>
    </row>
    <row r="16" spans="1:6" x14ac:dyDescent="0.3">
      <c r="A16" t="s">
        <v>3</v>
      </c>
      <c r="B16" s="12">
        <v>46243</v>
      </c>
      <c r="C16" s="10">
        <v>1</v>
      </c>
      <c r="D16" s="10">
        <v>1</v>
      </c>
      <c r="E16" s="10">
        <v>1</v>
      </c>
      <c r="F16" s="10">
        <v>3</v>
      </c>
    </row>
    <row r="17" spans="1:6" x14ac:dyDescent="0.3">
      <c r="A17" t="s">
        <v>6</v>
      </c>
      <c r="B17" s="12">
        <v>46242</v>
      </c>
      <c r="C17" s="10">
        <v>1</v>
      </c>
      <c r="D17" s="10">
        <v>1</v>
      </c>
      <c r="E17" s="10">
        <v>1</v>
      </c>
      <c r="F17" s="10">
        <v>3</v>
      </c>
    </row>
    <row r="18" spans="1:6" x14ac:dyDescent="0.3">
      <c r="A18" t="s">
        <v>16</v>
      </c>
      <c r="C18" s="10">
        <v>17</v>
      </c>
      <c r="D18" s="10">
        <v>13</v>
      </c>
      <c r="E18" s="10">
        <v>16</v>
      </c>
      <c r="F18" s="10">
        <v>46</v>
      </c>
    </row>
    <row r="22" spans="1:6" x14ac:dyDescent="0.3">
      <c r="A22" s="11" t="s">
        <v>1</v>
      </c>
      <c r="B22" s="11" t="s">
        <v>0</v>
      </c>
      <c r="C22" s="11" t="s">
        <v>10</v>
      </c>
      <c r="D22" s="11" t="s">
        <v>11</v>
      </c>
      <c r="E22" s="11" t="s">
        <v>12</v>
      </c>
      <c r="F22" s="11" t="s">
        <v>16</v>
      </c>
    </row>
    <row r="23" spans="1:6" x14ac:dyDescent="0.3">
      <c r="A23" s="13" t="s">
        <v>4</v>
      </c>
      <c r="B23" s="12">
        <v>46238</v>
      </c>
      <c r="C23" s="10">
        <f>COUNTIFS(RawData[[#All],[Tour Name]],Sheet3!$A23,RawData[[#All],[Tour Date]],Sheet3!$B23,RawData[[#All],[Customer]],Sheet3!$C$22)</f>
        <v>2</v>
      </c>
      <c r="D23" s="10">
        <f>COUNTIFS(RawData[[#All],[Tour Name]],Sheet3!$A23,RawData[[#All],[Tour Date]],Sheet3!$B23,RawData[[#All],[Customer]],Sheet3!$D$22)</f>
        <v>1</v>
      </c>
      <c r="E23" s="10">
        <f>COUNTIFS(RawData[[#All],[Tour Name]],Sheet3!$A23,RawData[[#All],[Tour Date]],Sheet3!$B23,RawData[[#All],[Customer]],Sheet3!$E$22)</f>
        <v>1</v>
      </c>
      <c r="F23" s="10"/>
    </row>
    <row r="24" spans="1:6" x14ac:dyDescent="0.3">
      <c r="A24" s="13" t="s">
        <v>4</v>
      </c>
      <c r="B24" s="12">
        <v>46240</v>
      </c>
      <c r="C24" s="10">
        <f>COUNTIFS(RawData[[#All],[Tour Name]],Sheet3!$A24,RawData[[#All],[Tour Date]],Sheet3!$B24,RawData[[#All],[Customer]],Sheet3!$C$22)</f>
        <v>1</v>
      </c>
      <c r="D24" s="10">
        <f>COUNTIFS(RawData[[#All],[Tour Name]],Sheet3!$A24,RawData[[#All],[Tour Date]],Sheet3!$B24,RawData[[#All],[Customer]],Sheet3!$D$22)</f>
        <v>1</v>
      </c>
      <c r="E24" s="10">
        <f>COUNTIFS(RawData[[#All],[Tour Name]],Sheet3!$A24,RawData[[#All],[Tour Date]],Sheet3!$B24,RawData[[#All],[Customer]],Sheet3!$E$22)</f>
        <v>1</v>
      </c>
      <c r="F24" s="10"/>
    </row>
    <row r="25" spans="1:6" x14ac:dyDescent="0.3">
      <c r="A25" s="14" t="s">
        <v>4</v>
      </c>
      <c r="B25" s="12">
        <v>46246</v>
      </c>
      <c r="C25" s="10">
        <f>COUNTIFS(RawData[[#All],[Tour Name]],Sheet3!$A25,RawData[[#All],[Tour Date]],Sheet3!$B25,RawData[[#All],[Customer]],Sheet3!$C$22)</f>
        <v>1</v>
      </c>
      <c r="D25" s="10">
        <f>COUNTIFS(RawData[[#All],[Tour Name]],Sheet3!$A25,RawData[[#All],[Tour Date]],Sheet3!$B25,RawData[[#All],[Customer]],Sheet3!$D$22)</f>
        <v>1</v>
      </c>
      <c r="E25" s="10">
        <f>COUNTIFS(RawData[[#All],[Tour Name]],Sheet3!$A25,RawData[[#All],[Tour Date]],Sheet3!$B25,RawData[[#All],[Customer]],Sheet3!$E$22)</f>
        <v>2</v>
      </c>
      <c r="F25" s="10"/>
    </row>
    <row r="26" spans="1:6" x14ac:dyDescent="0.3">
      <c r="A26" s="14" t="s">
        <v>7</v>
      </c>
      <c r="B26" s="12">
        <v>46244</v>
      </c>
      <c r="C26" s="10">
        <f>COUNTIFS(RawData[[#All],[Tour Name]],Sheet3!$A26,RawData[[#All],[Tour Date]],Sheet3!$B26,RawData[[#All],[Customer]],Sheet3!$C$22)</f>
        <v>1</v>
      </c>
      <c r="D26" s="10">
        <f>COUNTIFS(RawData[[#All],[Tour Name]],Sheet3!$A26,RawData[[#All],[Tour Date]],Sheet3!$B26,RawData[[#All],[Customer]],Sheet3!$D$22)</f>
        <v>1</v>
      </c>
      <c r="E26" s="10">
        <f>COUNTIFS(RawData[[#All],[Tour Name]],Sheet3!$A26,RawData[[#All],[Tour Date]],Sheet3!$B26,RawData[[#All],[Customer]],Sheet3!$E$22)</f>
        <v>2</v>
      </c>
      <c r="F26" s="10"/>
    </row>
    <row r="27" spans="1:6" x14ac:dyDescent="0.3">
      <c r="A27" s="14" t="s">
        <v>8</v>
      </c>
      <c r="B27" s="12">
        <v>46247</v>
      </c>
      <c r="C27" s="10">
        <f>COUNTIFS(RawData[[#All],[Tour Name]],Sheet3!$A27,RawData[[#All],[Tour Date]],Sheet3!$B27,RawData[[#All],[Customer]],Sheet3!$C$22)</f>
        <v>1</v>
      </c>
      <c r="D27" s="10">
        <f>COUNTIFS(RawData[[#All],[Tour Name]],Sheet3!$A27,RawData[[#All],[Tour Date]],Sheet3!$B27,RawData[[#All],[Customer]],Sheet3!$D$22)</f>
        <v>1</v>
      </c>
      <c r="E27" s="10">
        <f>COUNTIFS(RawData[[#All],[Tour Name]],Sheet3!$A27,RawData[[#All],[Tour Date]],Sheet3!$B27,RawData[[#All],[Customer]],Sheet3!$E$22)</f>
        <v>1</v>
      </c>
      <c r="F27" s="10"/>
    </row>
    <row r="28" spans="1:6" x14ac:dyDescent="0.3">
      <c r="A28" s="14" t="s">
        <v>5</v>
      </c>
      <c r="B28" s="12">
        <v>46241</v>
      </c>
      <c r="C28" s="10">
        <f>COUNTIFS(RawData[[#All],[Tour Name]],Sheet3!$A28,RawData[[#All],[Tour Date]],Sheet3!$B28,RawData[[#All],[Customer]],Sheet3!$C$22)</f>
        <v>1</v>
      </c>
      <c r="D28" s="10">
        <f>COUNTIFS(RawData[[#All],[Tour Name]],Sheet3!$A28,RawData[[#All],[Tour Date]],Sheet3!$B28,RawData[[#All],[Customer]],Sheet3!$D$22)</f>
        <v>1</v>
      </c>
      <c r="E28" s="10">
        <f>COUNTIFS(RawData[[#All],[Tour Name]],Sheet3!$A28,RawData[[#All],[Tour Date]],Sheet3!$B28,RawData[[#All],[Customer]],Sheet3!$E$22)</f>
        <v>1</v>
      </c>
      <c r="F28" s="10"/>
    </row>
    <row r="29" spans="1:6" x14ac:dyDescent="0.3">
      <c r="A29" s="13" t="s">
        <v>2</v>
      </c>
      <c r="B29" s="12">
        <v>46236</v>
      </c>
      <c r="C29" s="10">
        <f>COUNTIFS(RawData[[#All],[Tour Name]],Sheet3!$A29,RawData[[#All],[Tour Date]],Sheet3!$B29,RawData[[#All],[Customer]],Sheet3!$C$22)</f>
        <v>2</v>
      </c>
      <c r="D29" s="10">
        <f>COUNTIFS(RawData[[#All],[Tour Name]],Sheet3!$A29,RawData[[#All],[Tour Date]],Sheet3!$B29,RawData[[#All],[Customer]],Sheet3!$D$22)</f>
        <v>1</v>
      </c>
      <c r="E29" s="10">
        <f>COUNTIFS(RawData[[#All],[Tour Name]],Sheet3!$A29,RawData[[#All],[Tour Date]],Sheet3!$B29,RawData[[#All],[Customer]],Sheet3!$E$22)</f>
        <v>1</v>
      </c>
      <c r="F29" s="10"/>
    </row>
    <row r="30" spans="1:6" x14ac:dyDescent="0.3">
      <c r="A30" s="13" t="s">
        <v>2</v>
      </c>
      <c r="B30" s="12">
        <v>46239</v>
      </c>
      <c r="C30" s="10">
        <f>COUNTIFS(RawData[[#All],[Tour Name]],Sheet3!$A30,RawData[[#All],[Tour Date]],Sheet3!$B30,RawData[[#All],[Customer]],Sheet3!$C$22)</f>
        <v>2</v>
      </c>
      <c r="D30" s="10">
        <f>COUNTIFS(RawData[[#All],[Tour Name]],Sheet3!$A30,RawData[[#All],[Tour Date]],Sheet3!$B30,RawData[[#All],[Customer]],Sheet3!$D$22)</f>
        <v>1</v>
      </c>
      <c r="E30" s="10">
        <f>COUNTIFS(RawData[[#All],[Tour Name]],Sheet3!$A30,RawData[[#All],[Tour Date]],Sheet3!$B30,RawData[[#All],[Customer]],Sheet3!$E$22)</f>
        <v>1</v>
      </c>
      <c r="F30" s="10"/>
    </row>
    <row r="31" spans="1:6" x14ac:dyDescent="0.3">
      <c r="A31" s="14" t="s">
        <v>2</v>
      </c>
      <c r="B31" s="12">
        <v>46245</v>
      </c>
      <c r="C31" s="10">
        <f>COUNTIFS(RawData[[#All],[Tour Name]],Sheet3!$A31,RawData[[#All],[Tour Date]],Sheet3!$B31,RawData[[#All],[Customer]],Sheet3!$C$22)</f>
        <v>1</v>
      </c>
      <c r="D31" s="10">
        <f>COUNTIFS(RawData[[#All],[Tour Name]],Sheet3!$A31,RawData[[#All],[Tour Date]],Sheet3!$B31,RawData[[#All],[Customer]],Sheet3!$D$22)</f>
        <v>1</v>
      </c>
      <c r="E31" s="10">
        <f>COUNTIFS(RawData[[#All],[Tour Name]],Sheet3!$A31,RawData[[#All],[Tour Date]],Sheet3!$B31,RawData[[#All],[Customer]],Sheet3!$E$22)</f>
        <v>2</v>
      </c>
      <c r="F31" s="10"/>
    </row>
    <row r="32" spans="1:6" x14ac:dyDescent="0.3">
      <c r="A32" s="14" t="s">
        <v>9</v>
      </c>
      <c r="B32" s="12">
        <v>46248</v>
      </c>
      <c r="C32" s="10">
        <f>COUNTIFS(RawData[[#All],[Tour Name]],Sheet3!$A32,RawData[[#All],[Tour Date]],Sheet3!$B32,RawData[[#All],[Customer]],Sheet3!$C$22)</f>
        <v>1</v>
      </c>
      <c r="D32" s="10">
        <f>COUNTIFS(RawData[[#All],[Tour Name]],Sheet3!$A32,RawData[[#All],[Tour Date]],Sheet3!$B32,RawData[[#All],[Customer]],Sheet3!$D$22)</f>
        <v>1</v>
      </c>
      <c r="E32" s="10">
        <f>COUNTIFS(RawData[[#All],[Tour Name]],Sheet3!$A32,RawData[[#All],[Tour Date]],Sheet3!$B32,RawData[[#All],[Customer]],Sheet3!$E$22)</f>
        <v>1</v>
      </c>
      <c r="F32" s="10"/>
    </row>
    <row r="33" spans="1:6" x14ac:dyDescent="0.3">
      <c r="A33" s="13" t="s">
        <v>3</v>
      </c>
      <c r="B33" s="12">
        <v>46237</v>
      </c>
      <c r="C33" s="10">
        <f>COUNTIFS(RawData[[#All],[Tour Name]],Sheet3!$A33,RawData[[#All],[Tour Date]],Sheet3!$B33,RawData[[#All],[Customer]],Sheet3!$C$22)</f>
        <v>2</v>
      </c>
      <c r="D33" s="10">
        <f>COUNTIFS(RawData[[#All],[Tour Name]],Sheet3!$A33,RawData[[#All],[Tour Date]],Sheet3!$B33,RawData[[#All],[Customer]],Sheet3!$D$22)</f>
        <v>1</v>
      </c>
      <c r="E33" s="10">
        <f>COUNTIFS(RawData[[#All],[Tour Name]],Sheet3!$A33,RawData[[#All],[Tour Date]],Sheet3!$B33,RawData[[#All],[Customer]],Sheet3!$E$22)</f>
        <v>1</v>
      </c>
      <c r="F33" s="10"/>
    </row>
    <row r="34" spans="1:6" x14ac:dyDescent="0.3">
      <c r="A34" s="14" t="s">
        <v>3</v>
      </c>
      <c r="B34" s="12">
        <v>46243</v>
      </c>
      <c r="C34" s="10">
        <f>COUNTIFS(RawData[[#All],[Tour Name]],Sheet3!$A34,RawData[[#All],[Tour Date]],Sheet3!$B34,RawData[[#All],[Customer]],Sheet3!$C$22)</f>
        <v>1</v>
      </c>
      <c r="D34" s="10">
        <f>COUNTIFS(RawData[[#All],[Tour Name]],Sheet3!$A34,RawData[[#All],[Tour Date]],Sheet3!$B34,RawData[[#All],[Customer]],Sheet3!$D$22)</f>
        <v>1</v>
      </c>
      <c r="E34" s="10">
        <f>COUNTIFS(RawData[[#All],[Tour Name]],Sheet3!$A34,RawData[[#All],[Tour Date]],Sheet3!$B34,RawData[[#All],[Customer]],Sheet3!$E$22)</f>
        <v>1</v>
      </c>
      <c r="F34" s="10"/>
    </row>
    <row r="35" spans="1:6" x14ac:dyDescent="0.3">
      <c r="A35" s="14" t="s">
        <v>6</v>
      </c>
      <c r="B35" s="12">
        <v>46242</v>
      </c>
      <c r="C35" s="10">
        <f>COUNTIFS(RawData[[#All],[Tour Name]],Sheet3!$A35,RawData[[#All],[Tour Date]],Sheet3!$B35,RawData[[#All],[Customer]],Sheet3!$C$22)</f>
        <v>1</v>
      </c>
      <c r="D35" s="10">
        <f>COUNTIFS(RawData[[#All],[Tour Name]],Sheet3!$A35,RawData[[#All],[Tour Date]],Sheet3!$B35,RawData[[#All],[Customer]],Sheet3!$D$22)</f>
        <v>1</v>
      </c>
      <c r="E35" s="10">
        <f>COUNTIFS(RawData[[#All],[Tour Name]],Sheet3!$A35,RawData[[#All],[Tour Date]],Sheet3!$B35,RawData[[#All],[Customer]],Sheet3!$E$22)</f>
        <v>1</v>
      </c>
      <c r="F35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opLeftCell="A23" workbookViewId="0">
      <selection activeCell="A48" sqref="A48:XFD51"/>
    </sheetView>
  </sheetViews>
  <sheetFormatPr defaultRowHeight="14.4" x14ac:dyDescent="0.3"/>
  <cols>
    <col min="1" max="1" width="11.109375" customWidth="1"/>
    <col min="2" max="2" width="39.109375" bestFit="1" customWidth="1"/>
    <col min="3" max="3" width="11" customWidth="1"/>
    <col min="4" max="4" width="6.33203125" customWidth="1"/>
  </cols>
  <sheetData>
    <row r="1" spans="1:4" x14ac:dyDescent="0.3">
      <c r="A1" s="1" t="s">
        <v>0</v>
      </c>
      <c r="B1" s="2" t="s">
        <v>1</v>
      </c>
      <c r="C1" t="s">
        <v>13</v>
      </c>
      <c r="D1" t="s">
        <v>14</v>
      </c>
    </row>
    <row r="2" spans="1:4" x14ac:dyDescent="0.3">
      <c r="A2" s="3">
        <v>46236</v>
      </c>
      <c r="B2" s="4" t="s">
        <v>2</v>
      </c>
      <c r="C2" t="s">
        <v>10</v>
      </c>
      <c r="D2">
        <v>293</v>
      </c>
    </row>
    <row r="3" spans="1:4" x14ac:dyDescent="0.3">
      <c r="A3" s="5">
        <v>46237</v>
      </c>
      <c r="B3" s="6" t="s">
        <v>3</v>
      </c>
      <c r="C3" t="s">
        <v>10</v>
      </c>
      <c r="D3">
        <v>303</v>
      </c>
    </row>
    <row r="4" spans="1:4" x14ac:dyDescent="0.3">
      <c r="A4" s="3">
        <v>46238</v>
      </c>
      <c r="B4" s="4" t="s">
        <v>4</v>
      </c>
      <c r="C4" t="s">
        <v>10</v>
      </c>
      <c r="D4">
        <v>310</v>
      </c>
    </row>
    <row r="5" spans="1:4" x14ac:dyDescent="0.3">
      <c r="A5" s="5">
        <v>46239</v>
      </c>
      <c r="B5" s="6" t="s">
        <v>2</v>
      </c>
      <c r="C5" t="s">
        <v>10</v>
      </c>
      <c r="D5">
        <v>275</v>
      </c>
    </row>
    <row r="6" spans="1:4" x14ac:dyDescent="0.3">
      <c r="A6" s="3">
        <v>46240</v>
      </c>
      <c r="B6" s="4" t="s">
        <v>4</v>
      </c>
      <c r="C6" t="s">
        <v>10</v>
      </c>
      <c r="D6">
        <v>256</v>
      </c>
    </row>
    <row r="7" spans="1:4" x14ac:dyDescent="0.3">
      <c r="A7" s="5">
        <v>46241</v>
      </c>
      <c r="B7" s="6" t="s">
        <v>5</v>
      </c>
      <c r="C7" t="s">
        <v>10</v>
      </c>
      <c r="D7">
        <v>317</v>
      </c>
    </row>
    <row r="8" spans="1:4" x14ac:dyDescent="0.3">
      <c r="A8" s="3">
        <v>46242</v>
      </c>
      <c r="B8" s="4" t="s">
        <v>6</v>
      </c>
      <c r="C8" t="s">
        <v>10</v>
      </c>
      <c r="D8">
        <v>308</v>
      </c>
    </row>
    <row r="9" spans="1:4" x14ac:dyDescent="0.3">
      <c r="A9" s="5">
        <v>46243</v>
      </c>
      <c r="B9" s="6" t="s">
        <v>3</v>
      </c>
      <c r="C9" t="s">
        <v>10</v>
      </c>
      <c r="D9">
        <v>315</v>
      </c>
    </row>
    <row r="10" spans="1:4" x14ac:dyDescent="0.3">
      <c r="A10" s="3">
        <v>46244</v>
      </c>
      <c r="B10" s="4" t="s">
        <v>7</v>
      </c>
      <c r="C10" t="s">
        <v>10</v>
      </c>
      <c r="D10">
        <v>282</v>
      </c>
    </row>
    <row r="11" spans="1:4" x14ac:dyDescent="0.3">
      <c r="A11" s="5">
        <v>46245</v>
      </c>
      <c r="B11" s="6" t="s">
        <v>2</v>
      </c>
      <c r="C11" t="s">
        <v>10</v>
      </c>
      <c r="D11">
        <v>300</v>
      </c>
    </row>
    <row r="12" spans="1:4" x14ac:dyDescent="0.3">
      <c r="A12" s="3">
        <v>46246</v>
      </c>
      <c r="B12" s="4" t="s">
        <v>4</v>
      </c>
      <c r="C12" t="s">
        <v>10</v>
      </c>
      <c r="D12">
        <v>262</v>
      </c>
    </row>
    <row r="13" spans="1:4" x14ac:dyDescent="0.3">
      <c r="A13" s="5">
        <v>46247</v>
      </c>
      <c r="B13" s="6" t="s">
        <v>8</v>
      </c>
      <c r="C13" t="s">
        <v>10</v>
      </c>
      <c r="D13">
        <v>321</v>
      </c>
    </row>
    <row r="14" spans="1:4" x14ac:dyDescent="0.3">
      <c r="A14" s="3">
        <v>46248</v>
      </c>
      <c r="B14" s="4" t="s">
        <v>9</v>
      </c>
      <c r="C14" t="s">
        <v>10</v>
      </c>
      <c r="D14">
        <v>304</v>
      </c>
    </row>
    <row r="15" spans="1:4" x14ac:dyDescent="0.3">
      <c r="A15" s="3">
        <v>46236</v>
      </c>
      <c r="B15" s="4" t="s">
        <v>2</v>
      </c>
      <c r="C15" t="s">
        <v>11</v>
      </c>
      <c r="D15">
        <v>181</v>
      </c>
    </row>
    <row r="16" spans="1:4" x14ac:dyDescent="0.3">
      <c r="A16" s="5">
        <v>46237</v>
      </c>
      <c r="B16" s="6" t="s">
        <v>3</v>
      </c>
      <c r="C16" t="s">
        <v>11</v>
      </c>
      <c r="D16">
        <v>164</v>
      </c>
    </row>
    <row r="17" spans="1:4" x14ac:dyDescent="0.3">
      <c r="A17" s="3">
        <v>46238</v>
      </c>
      <c r="B17" s="4" t="s">
        <v>4</v>
      </c>
      <c r="C17" t="s">
        <v>11</v>
      </c>
      <c r="D17">
        <v>194</v>
      </c>
    </row>
    <row r="18" spans="1:4" x14ac:dyDescent="0.3">
      <c r="A18" s="5">
        <v>46239</v>
      </c>
      <c r="B18" s="6" t="s">
        <v>2</v>
      </c>
      <c r="C18" t="s">
        <v>11</v>
      </c>
      <c r="D18">
        <v>165</v>
      </c>
    </row>
    <row r="19" spans="1:4" x14ac:dyDescent="0.3">
      <c r="A19" s="3">
        <v>46240</v>
      </c>
      <c r="B19" s="4" t="s">
        <v>4</v>
      </c>
      <c r="C19" t="s">
        <v>11</v>
      </c>
      <c r="D19">
        <v>195</v>
      </c>
    </row>
    <row r="20" spans="1:4" x14ac:dyDescent="0.3">
      <c r="A20" s="5">
        <v>46241</v>
      </c>
      <c r="B20" s="6" t="s">
        <v>5</v>
      </c>
      <c r="C20" t="s">
        <v>11</v>
      </c>
      <c r="D20">
        <v>175</v>
      </c>
    </row>
    <row r="21" spans="1:4" x14ac:dyDescent="0.3">
      <c r="A21" s="3">
        <v>46242</v>
      </c>
      <c r="B21" s="4" t="s">
        <v>6</v>
      </c>
      <c r="C21" t="s">
        <v>11</v>
      </c>
      <c r="D21">
        <v>189</v>
      </c>
    </row>
    <row r="22" spans="1:4" x14ac:dyDescent="0.3">
      <c r="A22" s="5">
        <v>46243</v>
      </c>
      <c r="B22" s="6" t="s">
        <v>3</v>
      </c>
      <c r="C22" t="s">
        <v>11</v>
      </c>
      <c r="D22">
        <v>184</v>
      </c>
    </row>
    <row r="23" spans="1:4" x14ac:dyDescent="0.3">
      <c r="A23" s="3">
        <v>46244</v>
      </c>
      <c r="B23" s="4" t="s">
        <v>7</v>
      </c>
      <c r="C23" t="s">
        <v>11</v>
      </c>
      <c r="D23">
        <v>198</v>
      </c>
    </row>
    <row r="24" spans="1:4" x14ac:dyDescent="0.3">
      <c r="A24" s="5">
        <v>46245</v>
      </c>
      <c r="B24" s="6" t="s">
        <v>2</v>
      </c>
      <c r="C24" t="s">
        <v>11</v>
      </c>
      <c r="D24">
        <v>167</v>
      </c>
    </row>
    <row r="25" spans="1:4" x14ac:dyDescent="0.3">
      <c r="A25" s="3">
        <v>46246</v>
      </c>
      <c r="B25" s="4" t="s">
        <v>4</v>
      </c>
      <c r="C25" t="s">
        <v>11</v>
      </c>
      <c r="D25">
        <v>194</v>
      </c>
    </row>
    <row r="26" spans="1:4" x14ac:dyDescent="0.3">
      <c r="A26" s="5">
        <v>46247</v>
      </c>
      <c r="B26" s="6" t="s">
        <v>8</v>
      </c>
      <c r="C26" t="s">
        <v>11</v>
      </c>
      <c r="D26">
        <v>194</v>
      </c>
    </row>
    <row r="27" spans="1:4" x14ac:dyDescent="0.3">
      <c r="A27" s="3">
        <v>46248</v>
      </c>
      <c r="B27" s="4" t="s">
        <v>9</v>
      </c>
      <c r="C27" t="s">
        <v>11</v>
      </c>
      <c r="D27">
        <v>189</v>
      </c>
    </row>
    <row r="28" spans="1:4" x14ac:dyDescent="0.3">
      <c r="A28" s="3">
        <v>46236</v>
      </c>
      <c r="B28" s="4" t="s">
        <v>2</v>
      </c>
      <c r="C28" t="s">
        <v>12</v>
      </c>
      <c r="D28">
        <v>55</v>
      </c>
    </row>
    <row r="29" spans="1:4" x14ac:dyDescent="0.3">
      <c r="A29" s="5">
        <v>46237</v>
      </c>
      <c r="B29" s="6" t="s">
        <v>3</v>
      </c>
      <c r="C29" t="s">
        <v>12</v>
      </c>
      <c r="D29">
        <v>53</v>
      </c>
    </row>
    <row r="30" spans="1:4" x14ac:dyDescent="0.3">
      <c r="A30" s="3">
        <v>46238</v>
      </c>
      <c r="B30" s="4" t="s">
        <v>4</v>
      </c>
      <c r="C30" t="s">
        <v>12</v>
      </c>
      <c r="D30">
        <v>66</v>
      </c>
    </row>
    <row r="31" spans="1:4" x14ac:dyDescent="0.3">
      <c r="A31" s="5">
        <v>46239</v>
      </c>
      <c r="B31" s="6" t="s">
        <v>2</v>
      </c>
      <c r="C31" t="s">
        <v>12</v>
      </c>
      <c r="D31">
        <v>69</v>
      </c>
    </row>
    <row r="32" spans="1:4" x14ac:dyDescent="0.3">
      <c r="A32" s="3">
        <v>46240</v>
      </c>
      <c r="B32" s="4" t="s">
        <v>4</v>
      </c>
      <c r="C32" t="s">
        <v>12</v>
      </c>
      <c r="D32">
        <v>61</v>
      </c>
    </row>
    <row r="33" spans="1:4" x14ac:dyDescent="0.3">
      <c r="A33" s="5">
        <v>46241</v>
      </c>
      <c r="B33" s="6" t="s">
        <v>5</v>
      </c>
      <c r="C33" t="s">
        <v>12</v>
      </c>
      <c r="D33">
        <v>55</v>
      </c>
    </row>
    <row r="34" spans="1:4" x14ac:dyDescent="0.3">
      <c r="A34" s="3">
        <v>46242</v>
      </c>
      <c r="B34" s="4" t="s">
        <v>6</v>
      </c>
      <c r="C34" t="s">
        <v>12</v>
      </c>
      <c r="D34">
        <v>61</v>
      </c>
    </row>
    <row r="35" spans="1:4" x14ac:dyDescent="0.3">
      <c r="A35" s="5">
        <v>46243</v>
      </c>
      <c r="B35" s="6" t="s">
        <v>3</v>
      </c>
      <c r="C35" t="s">
        <v>12</v>
      </c>
      <c r="D35">
        <v>67</v>
      </c>
    </row>
    <row r="36" spans="1:4" x14ac:dyDescent="0.3">
      <c r="A36" s="3">
        <v>46244</v>
      </c>
      <c r="B36" s="4" t="s">
        <v>7</v>
      </c>
      <c r="C36" t="s">
        <v>12</v>
      </c>
      <c r="D36">
        <v>53</v>
      </c>
    </row>
    <row r="37" spans="1:4" x14ac:dyDescent="0.3">
      <c r="A37" s="5">
        <v>46245</v>
      </c>
      <c r="B37" s="6" t="s">
        <v>2</v>
      </c>
      <c r="C37" t="s">
        <v>12</v>
      </c>
      <c r="D37">
        <v>65</v>
      </c>
    </row>
    <row r="38" spans="1:4" x14ac:dyDescent="0.3">
      <c r="A38" s="3">
        <v>46246</v>
      </c>
      <c r="B38" s="4" t="s">
        <v>4</v>
      </c>
      <c r="C38" t="s">
        <v>12</v>
      </c>
      <c r="D38">
        <v>64</v>
      </c>
    </row>
    <row r="39" spans="1:4" x14ac:dyDescent="0.3">
      <c r="A39" s="5">
        <v>46247</v>
      </c>
      <c r="B39" s="6" t="s">
        <v>8</v>
      </c>
      <c r="C39" t="s">
        <v>12</v>
      </c>
      <c r="D39">
        <v>59</v>
      </c>
    </row>
    <row r="40" spans="1:4" x14ac:dyDescent="0.3">
      <c r="A40" s="3">
        <v>46248</v>
      </c>
      <c r="B40" s="4" t="s">
        <v>9</v>
      </c>
      <c r="C40" t="s">
        <v>12</v>
      </c>
      <c r="D40">
        <v>53</v>
      </c>
    </row>
    <row r="41" spans="1:4" x14ac:dyDescent="0.3">
      <c r="A41" s="3">
        <v>46236</v>
      </c>
      <c r="B41" s="4" t="s">
        <v>2</v>
      </c>
      <c r="C41" t="s">
        <v>10</v>
      </c>
      <c r="D41">
        <v>293</v>
      </c>
    </row>
    <row r="42" spans="1:4" x14ac:dyDescent="0.3">
      <c r="A42" s="3">
        <v>46237</v>
      </c>
      <c r="B42" s="4" t="s">
        <v>3</v>
      </c>
      <c r="C42" t="s">
        <v>10</v>
      </c>
      <c r="D42">
        <v>303</v>
      </c>
    </row>
    <row r="43" spans="1:4" x14ac:dyDescent="0.3">
      <c r="A43" s="3">
        <v>46238</v>
      </c>
      <c r="B43" s="4" t="s">
        <v>4</v>
      </c>
      <c r="C43" t="s">
        <v>10</v>
      </c>
      <c r="D43">
        <v>310</v>
      </c>
    </row>
    <row r="44" spans="1:4" x14ac:dyDescent="0.3">
      <c r="A44" s="15">
        <v>46239</v>
      </c>
      <c r="B44" s="16" t="s">
        <v>2</v>
      </c>
      <c r="C44" s="17" t="s">
        <v>10</v>
      </c>
      <c r="D44" s="17">
        <v>275</v>
      </c>
    </row>
    <row r="45" spans="1:4" x14ac:dyDescent="0.3">
      <c r="A45" s="3">
        <v>46244</v>
      </c>
      <c r="B45" s="4" t="s">
        <v>7</v>
      </c>
      <c r="C45" t="s">
        <v>12</v>
      </c>
      <c r="D45">
        <v>53</v>
      </c>
    </row>
    <row r="46" spans="1:4" x14ac:dyDescent="0.3">
      <c r="A46" s="3">
        <v>46245</v>
      </c>
      <c r="B46" s="4" t="s">
        <v>2</v>
      </c>
      <c r="C46" t="s">
        <v>12</v>
      </c>
      <c r="D46">
        <v>65</v>
      </c>
    </row>
    <row r="47" spans="1:4" x14ac:dyDescent="0.3">
      <c r="A47" s="15">
        <v>46246</v>
      </c>
      <c r="B47" s="16" t="s">
        <v>4</v>
      </c>
      <c r="C47" s="17" t="s">
        <v>12</v>
      </c>
      <c r="D47" s="17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Package WiseSale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2026-07-16T06:52:41Z</dcterms:modified>
</cp:coreProperties>
</file>